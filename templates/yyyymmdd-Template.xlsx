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8F6784A-A387-468F-8E6C-FEA0E63AF01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Curve" sheetId="1" r:id="rId1"/>
    <sheet name="Log_Mingguan" sheetId="2" r:id="rId2"/>
    <sheet name="Catatan Perbaikan" sheetId="3" r:id="rId3"/>
    <sheet name="milestone progress" sheetId="4" r:id="rId4"/>
    <sheet name="Sheet2" sheetId="5" r:id="rId5"/>
    <sheet name="Libur" sheetId="6" r:id="rId6"/>
    <sheet name="Info Mingguan" sheetId="7" r:id="rId7"/>
    <sheet name="SCurve D1" sheetId="8" r:id="rId8"/>
  </sheets>
  <definedNames>
    <definedName name="Hari_Libur">Libur!$A$2:$A$200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1" i="8" l="1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P66" i="8"/>
  <c r="C62" i="8"/>
  <c r="P60" i="8"/>
  <c r="N60" i="8"/>
  <c r="L60" i="8"/>
  <c r="M60" i="8" s="1"/>
  <c r="I60" i="8"/>
  <c r="J60" i="8" s="1"/>
  <c r="H60" i="8"/>
  <c r="F60" i="8"/>
  <c r="P59" i="8"/>
  <c r="P58" i="8"/>
  <c r="N58" i="8"/>
  <c r="L58" i="8"/>
  <c r="M58" i="8" s="1"/>
  <c r="I58" i="8"/>
  <c r="J58" i="8" s="1"/>
  <c r="H58" i="8"/>
  <c r="F58" i="8"/>
  <c r="P57" i="8"/>
  <c r="N57" i="8"/>
  <c r="L57" i="8"/>
  <c r="J57" i="8"/>
  <c r="J56" i="8" s="1"/>
  <c r="I57" i="8"/>
  <c r="H57" i="8"/>
  <c r="F57" i="8"/>
  <c r="P56" i="8"/>
  <c r="K56" i="8"/>
  <c r="I56" i="8"/>
  <c r="H56" i="8"/>
  <c r="C56" i="8"/>
  <c r="P55" i="8"/>
  <c r="P54" i="8"/>
  <c r="N54" i="8"/>
  <c r="L54" i="8"/>
  <c r="I54" i="8"/>
  <c r="J54" i="8" s="1"/>
  <c r="M54" i="8" s="1"/>
  <c r="H54" i="8"/>
  <c r="F54" i="8"/>
  <c r="P53" i="8"/>
  <c r="N53" i="8"/>
  <c r="L53" i="8"/>
  <c r="M53" i="8" s="1"/>
  <c r="J53" i="8"/>
  <c r="I53" i="8"/>
  <c r="H53" i="8"/>
  <c r="F53" i="8"/>
  <c r="P52" i="8"/>
  <c r="N52" i="8"/>
  <c r="L52" i="8"/>
  <c r="J52" i="8"/>
  <c r="I52" i="8"/>
  <c r="H52" i="8"/>
  <c r="F52" i="8"/>
  <c r="P51" i="8"/>
  <c r="K51" i="8"/>
  <c r="I51" i="8"/>
  <c r="H51" i="8"/>
  <c r="C51" i="8"/>
  <c r="P50" i="8"/>
  <c r="P49" i="8"/>
  <c r="N49" i="8"/>
  <c r="M49" i="8"/>
  <c r="L49" i="8"/>
  <c r="I49" i="8"/>
  <c r="J49" i="8" s="1"/>
  <c r="H49" i="8"/>
  <c r="F49" i="8"/>
  <c r="P48" i="8"/>
  <c r="N48" i="8"/>
  <c r="L48" i="8"/>
  <c r="J48" i="8"/>
  <c r="I48" i="8"/>
  <c r="H48" i="8"/>
  <c r="F48" i="8"/>
  <c r="P47" i="8"/>
  <c r="N47" i="8"/>
  <c r="L47" i="8"/>
  <c r="I47" i="8"/>
  <c r="J47" i="8" s="1"/>
  <c r="H47" i="8"/>
  <c r="F47" i="8"/>
  <c r="P46" i="8"/>
  <c r="N46" i="8"/>
  <c r="L46" i="8"/>
  <c r="M46" i="8" s="1"/>
  <c r="J46" i="8"/>
  <c r="I46" i="8"/>
  <c r="H46" i="8"/>
  <c r="F46" i="8"/>
  <c r="P45" i="8"/>
  <c r="N45" i="8"/>
  <c r="M45" i="8"/>
  <c r="L45" i="8"/>
  <c r="I45" i="8"/>
  <c r="J45" i="8" s="1"/>
  <c r="H45" i="8"/>
  <c r="F45" i="8"/>
  <c r="P44" i="8"/>
  <c r="N44" i="8"/>
  <c r="L44" i="8"/>
  <c r="I44" i="8"/>
  <c r="H44" i="8"/>
  <c r="F44" i="8"/>
  <c r="J44" i="8" s="1"/>
  <c r="P43" i="8"/>
  <c r="K43" i="8"/>
  <c r="I43" i="8"/>
  <c r="H43" i="8"/>
  <c r="C43" i="8"/>
  <c r="P42" i="8"/>
  <c r="P41" i="8"/>
  <c r="N41" i="8"/>
  <c r="L41" i="8"/>
  <c r="M41" i="8" s="1"/>
  <c r="J41" i="8"/>
  <c r="I41" i="8"/>
  <c r="H41" i="8"/>
  <c r="F41" i="8"/>
  <c r="P40" i="8"/>
  <c r="N40" i="8"/>
  <c r="L40" i="8"/>
  <c r="I40" i="8"/>
  <c r="H40" i="8"/>
  <c r="F40" i="8"/>
  <c r="P39" i="8"/>
  <c r="N39" i="8"/>
  <c r="M39" i="8"/>
  <c r="L39" i="8"/>
  <c r="J39" i="8"/>
  <c r="I39" i="8"/>
  <c r="H39" i="8"/>
  <c r="F39" i="8"/>
  <c r="K38" i="8"/>
  <c r="I38" i="8"/>
  <c r="H38" i="8"/>
  <c r="C38" i="8"/>
  <c r="P37" i="8"/>
  <c r="P36" i="8"/>
  <c r="N36" i="8"/>
  <c r="L36" i="8"/>
  <c r="I36" i="8"/>
  <c r="H36" i="8"/>
  <c r="F36" i="8"/>
  <c r="J36" i="8" s="1"/>
  <c r="P35" i="8"/>
  <c r="N35" i="8"/>
  <c r="L35" i="8"/>
  <c r="M35" i="8" s="1"/>
  <c r="I35" i="8"/>
  <c r="H35" i="8"/>
  <c r="F35" i="8"/>
  <c r="J35" i="8" s="1"/>
  <c r="P34" i="8"/>
  <c r="N34" i="8"/>
  <c r="L34" i="8"/>
  <c r="L32" i="8" s="1"/>
  <c r="I34" i="8"/>
  <c r="J34" i="8" s="1"/>
  <c r="M34" i="8" s="1"/>
  <c r="H34" i="8"/>
  <c r="F34" i="8"/>
  <c r="P33" i="8"/>
  <c r="N33" i="8"/>
  <c r="L33" i="8"/>
  <c r="I33" i="8"/>
  <c r="J33" i="8" s="1"/>
  <c r="H33" i="8"/>
  <c r="F33" i="8"/>
  <c r="P32" i="8"/>
  <c r="K32" i="8"/>
  <c r="I32" i="8"/>
  <c r="H32" i="8"/>
  <c r="C32" i="8"/>
  <c r="P31" i="8"/>
  <c r="P30" i="8"/>
  <c r="N30" i="8"/>
  <c r="L30" i="8"/>
  <c r="J30" i="8"/>
  <c r="I30" i="8"/>
  <c r="H30" i="8"/>
  <c r="F30" i="8"/>
  <c r="P29" i="8"/>
  <c r="N29" i="8"/>
  <c r="L29" i="8"/>
  <c r="I29" i="8"/>
  <c r="H29" i="8"/>
  <c r="F29" i="8"/>
  <c r="J29" i="8" s="1"/>
  <c r="L28" i="8"/>
  <c r="L24" i="8" s="1"/>
  <c r="K28" i="8"/>
  <c r="K24" i="8" s="1"/>
  <c r="I28" i="8"/>
  <c r="H28" i="8"/>
  <c r="C28" i="8"/>
  <c r="P27" i="8"/>
  <c r="P26" i="8"/>
  <c r="N26" i="8"/>
  <c r="L26" i="8"/>
  <c r="M26" i="8" s="1"/>
  <c r="J26" i="8"/>
  <c r="I26" i="8"/>
  <c r="H26" i="8"/>
  <c r="F26" i="8"/>
  <c r="P25" i="8"/>
  <c r="N25" i="8"/>
  <c r="M25" i="8"/>
  <c r="L25" i="8"/>
  <c r="I25" i="8"/>
  <c r="J25" i="8" s="1"/>
  <c r="H25" i="8"/>
  <c r="F25" i="8"/>
  <c r="I24" i="8"/>
  <c r="H24" i="8"/>
  <c r="C24" i="8"/>
  <c r="P23" i="8"/>
  <c r="P22" i="8"/>
  <c r="P21" i="8"/>
  <c r="N21" i="8"/>
  <c r="L21" i="8"/>
  <c r="L62" i="8" s="1"/>
  <c r="I21" i="8"/>
  <c r="J21" i="8" s="1"/>
  <c r="H21" i="8"/>
  <c r="F21" i="8"/>
  <c r="K20" i="8"/>
  <c r="I20" i="8"/>
  <c r="H20" i="8"/>
  <c r="C20" i="8"/>
  <c r="Q17" i="8"/>
  <c r="R16" i="8"/>
  <c r="Q16" i="8"/>
  <c r="Q66" i="8" s="1"/>
  <c r="C11" i="8"/>
  <c r="L10" i="4"/>
  <c r="L9" i="4"/>
  <c r="L8" i="4"/>
  <c r="M4" i="4"/>
  <c r="L4" i="4"/>
  <c r="L3" i="4"/>
  <c r="M3" i="4" s="1"/>
  <c r="G55" i="2"/>
  <c r="H55" i="2" s="1"/>
  <c r="F55" i="2"/>
  <c r="H54" i="2"/>
  <c r="G54" i="2"/>
  <c r="F54" i="2"/>
  <c r="G53" i="2"/>
  <c r="H53" i="2" s="1"/>
  <c r="F53" i="2"/>
  <c r="G52" i="2"/>
  <c r="H52" i="2" s="1"/>
  <c r="F52" i="2"/>
  <c r="H51" i="2"/>
  <c r="G51" i="2"/>
  <c r="F51" i="2"/>
  <c r="G50" i="2"/>
  <c r="H50" i="2" s="1"/>
  <c r="F50" i="2"/>
  <c r="G49" i="2"/>
  <c r="H49" i="2" s="1"/>
  <c r="F49" i="2"/>
  <c r="G48" i="2"/>
  <c r="H48" i="2" s="1"/>
  <c r="F48" i="2"/>
  <c r="H47" i="2"/>
  <c r="G47" i="2"/>
  <c r="F47" i="2"/>
  <c r="G46" i="2"/>
  <c r="H46" i="2" s="1"/>
  <c r="F46" i="2"/>
  <c r="G45" i="2"/>
  <c r="H45" i="2" s="1"/>
  <c r="F45" i="2"/>
  <c r="G44" i="2"/>
  <c r="H44" i="2" s="1"/>
  <c r="F44" i="2"/>
  <c r="H43" i="2"/>
  <c r="G43" i="2"/>
  <c r="F43" i="2"/>
  <c r="G42" i="2"/>
  <c r="H42" i="2" s="1"/>
  <c r="F42" i="2"/>
  <c r="G41" i="2"/>
  <c r="H41" i="2" s="1"/>
  <c r="F41" i="2"/>
  <c r="G40" i="2"/>
  <c r="H40" i="2" s="1"/>
  <c r="F40" i="2"/>
  <c r="H39" i="2"/>
  <c r="G39" i="2"/>
  <c r="F39" i="2"/>
  <c r="G38" i="2"/>
  <c r="H38" i="2" s="1"/>
  <c r="F38" i="2"/>
  <c r="G37" i="2"/>
  <c r="H37" i="2" s="1"/>
  <c r="F37" i="2"/>
  <c r="G36" i="2"/>
  <c r="H36" i="2" s="1"/>
  <c r="F36" i="2"/>
  <c r="H35" i="2"/>
  <c r="G35" i="2"/>
  <c r="F35" i="2"/>
  <c r="G34" i="2"/>
  <c r="H34" i="2" s="1"/>
  <c r="F34" i="2"/>
  <c r="G33" i="2"/>
  <c r="H33" i="2" s="1"/>
  <c r="F33" i="2"/>
  <c r="G32" i="2"/>
  <c r="H32" i="2" s="1"/>
  <c r="F32" i="2"/>
  <c r="H31" i="2"/>
  <c r="G31" i="2"/>
  <c r="F31" i="2"/>
  <c r="G30" i="2"/>
  <c r="H30" i="2" s="1"/>
  <c r="F30" i="2"/>
  <c r="G29" i="2"/>
  <c r="H29" i="2" s="1"/>
  <c r="F29" i="2"/>
  <c r="G28" i="2"/>
  <c r="H28" i="2" s="1"/>
  <c r="F28" i="2"/>
  <c r="H27" i="2"/>
  <c r="G27" i="2"/>
  <c r="F27" i="2"/>
  <c r="G26" i="2"/>
  <c r="H26" i="2" s="1"/>
  <c r="F26" i="2"/>
  <c r="G25" i="2"/>
  <c r="H25" i="2" s="1"/>
  <c r="F25" i="2"/>
  <c r="G24" i="2"/>
  <c r="H24" i="2" s="1"/>
  <c r="F24" i="2"/>
  <c r="H23" i="2"/>
  <c r="G23" i="2"/>
  <c r="F23" i="2"/>
  <c r="G22" i="2"/>
  <c r="H22" i="2" s="1"/>
  <c r="F22" i="2"/>
  <c r="G21" i="2"/>
  <c r="H21" i="2" s="1"/>
  <c r="F21" i="2"/>
  <c r="G20" i="2"/>
  <c r="H20" i="2" s="1"/>
  <c r="F20" i="2"/>
  <c r="H19" i="2"/>
  <c r="G19" i="2"/>
  <c r="F19" i="2"/>
  <c r="G18" i="2"/>
  <c r="H18" i="2" s="1"/>
  <c r="F18" i="2"/>
  <c r="G17" i="2"/>
  <c r="H17" i="2" s="1"/>
  <c r="F17" i="2"/>
  <c r="G16" i="2"/>
  <c r="H16" i="2" s="1"/>
  <c r="F16" i="2"/>
  <c r="H15" i="2"/>
  <c r="G15" i="2"/>
  <c r="F15" i="2"/>
  <c r="G14" i="2"/>
  <c r="H14" i="2" s="1"/>
  <c r="F14" i="2"/>
  <c r="G13" i="2"/>
  <c r="H13" i="2" s="1"/>
  <c r="F13" i="2"/>
  <c r="G12" i="2"/>
  <c r="H12" i="2" s="1"/>
  <c r="F12" i="2"/>
  <c r="H11" i="2"/>
  <c r="G11" i="2"/>
  <c r="F11" i="2"/>
  <c r="G10" i="2"/>
  <c r="H10" i="2" s="1"/>
  <c r="F10" i="2"/>
  <c r="G9" i="2"/>
  <c r="H9" i="2" s="1"/>
  <c r="F9" i="2"/>
  <c r="C8" i="2"/>
  <c r="B8" i="2"/>
  <c r="A4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B69" i="1"/>
  <c r="AD69" i="1"/>
  <c r="BK68" i="1"/>
  <c r="BK69" i="1" s="1"/>
  <c r="BJ68" i="1"/>
  <c r="BJ69" i="1" s="1"/>
  <c r="BI68" i="1"/>
  <c r="BI69" i="1" s="1"/>
  <c r="BH68" i="1"/>
  <c r="BH69" i="1" s="1"/>
  <c r="BG68" i="1"/>
  <c r="BG69" i="1" s="1"/>
  <c r="BF68" i="1"/>
  <c r="BF69" i="1" s="1"/>
  <c r="BE68" i="1"/>
  <c r="BE69" i="1" s="1"/>
  <c r="BD68" i="1"/>
  <c r="BD69" i="1" s="1"/>
  <c r="BC68" i="1"/>
  <c r="BC69" i="1" s="1"/>
  <c r="BB68" i="1"/>
  <c r="BA68" i="1"/>
  <c r="BA69" i="1" s="1"/>
  <c r="AZ68" i="1"/>
  <c r="AZ69" i="1" s="1"/>
  <c r="AY68" i="1"/>
  <c r="AY69" i="1" s="1"/>
  <c r="AX68" i="1"/>
  <c r="AX69" i="1" s="1"/>
  <c r="AW68" i="1"/>
  <c r="AW69" i="1" s="1"/>
  <c r="AV68" i="1"/>
  <c r="AV69" i="1" s="1"/>
  <c r="AU68" i="1"/>
  <c r="AU69" i="1" s="1"/>
  <c r="AT68" i="1"/>
  <c r="AT69" i="1" s="1"/>
  <c r="AS68" i="1"/>
  <c r="AS69" i="1" s="1"/>
  <c r="AR68" i="1"/>
  <c r="AR69" i="1" s="1"/>
  <c r="AQ68" i="1"/>
  <c r="AQ69" i="1" s="1"/>
  <c r="AP68" i="1"/>
  <c r="AP69" i="1" s="1"/>
  <c r="AO68" i="1"/>
  <c r="AO69" i="1" s="1"/>
  <c r="AN68" i="1"/>
  <c r="AN69" i="1" s="1"/>
  <c r="AM68" i="1"/>
  <c r="AM69" i="1" s="1"/>
  <c r="AL68" i="1"/>
  <c r="AL69" i="1" s="1"/>
  <c r="AK68" i="1"/>
  <c r="AK69" i="1" s="1"/>
  <c r="AJ68" i="1"/>
  <c r="AJ69" i="1" s="1"/>
  <c r="AI68" i="1"/>
  <c r="AI69" i="1" s="1"/>
  <c r="AH68" i="1"/>
  <c r="AH69" i="1" s="1"/>
  <c r="AG68" i="1"/>
  <c r="AG69" i="1" s="1"/>
  <c r="AF68" i="1"/>
  <c r="AF69" i="1" s="1"/>
  <c r="AE68" i="1"/>
  <c r="AE69" i="1" s="1"/>
  <c r="AD68" i="1"/>
  <c r="AC68" i="1"/>
  <c r="AC69" i="1" s="1"/>
  <c r="AB68" i="1"/>
  <c r="AB69" i="1" s="1"/>
  <c r="AA68" i="1"/>
  <c r="AA69" i="1" s="1"/>
  <c r="Z68" i="1"/>
  <c r="Z69" i="1" s="1"/>
  <c r="Y68" i="1"/>
  <c r="Y69" i="1" s="1"/>
  <c r="X68" i="1"/>
  <c r="X69" i="1" s="1"/>
  <c r="W68" i="1"/>
  <c r="W69" i="1" s="1"/>
  <c r="V68" i="1"/>
  <c r="V69" i="1" s="1"/>
  <c r="U68" i="1"/>
  <c r="U69" i="1" s="1"/>
  <c r="T68" i="1"/>
  <c r="T69" i="1" s="1"/>
  <c r="S68" i="1"/>
  <c r="S69" i="1" s="1"/>
  <c r="R68" i="1"/>
  <c r="R69" i="1" s="1"/>
  <c r="Q68" i="1"/>
  <c r="Q69" i="1" s="1"/>
  <c r="P68" i="1"/>
  <c r="P66" i="1"/>
  <c r="C62" i="1"/>
  <c r="O4" i="2" s="1"/>
  <c r="P60" i="1"/>
  <c r="N60" i="1"/>
  <c r="L60" i="1"/>
  <c r="J60" i="1"/>
  <c r="I60" i="1"/>
  <c r="H60" i="1"/>
  <c r="F60" i="1"/>
  <c r="P59" i="1"/>
  <c r="P58" i="1"/>
  <c r="N58" i="1"/>
  <c r="L58" i="1"/>
  <c r="I58" i="1"/>
  <c r="J58" i="1" s="1"/>
  <c r="M58" i="1" s="1"/>
  <c r="H58" i="1"/>
  <c r="F58" i="1"/>
  <c r="P57" i="1"/>
  <c r="N57" i="1"/>
  <c r="L57" i="1"/>
  <c r="I57" i="1"/>
  <c r="J57" i="1" s="1"/>
  <c r="H57" i="1"/>
  <c r="F57" i="1"/>
  <c r="L56" i="1"/>
  <c r="H56" i="1"/>
  <c r="E56" i="1"/>
  <c r="D56" i="1"/>
  <c r="C56" i="1"/>
  <c r="K56" i="1" s="1"/>
  <c r="L6" i="4" s="1"/>
  <c r="M6" i="4" s="1"/>
  <c r="P55" i="1"/>
  <c r="P54" i="1"/>
  <c r="N54" i="1"/>
  <c r="L54" i="1"/>
  <c r="J54" i="1"/>
  <c r="I54" i="1"/>
  <c r="H54" i="1"/>
  <c r="F54" i="1"/>
  <c r="P53" i="1"/>
  <c r="N53" i="1"/>
  <c r="L53" i="1"/>
  <c r="M53" i="1" s="1"/>
  <c r="I53" i="1"/>
  <c r="J53" i="1" s="1"/>
  <c r="H53" i="1"/>
  <c r="F53" i="1"/>
  <c r="P52" i="1"/>
  <c r="N52" i="1"/>
  <c r="L52" i="1"/>
  <c r="I52" i="1"/>
  <c r="J52" i="1" s="1"/>
  <c r="J51" i="1" s="1"/>
  <c r="H52" i="1"/>
  <c r="F52" i="1"/>
  <c r="L51" i="1"/>
  <c r="I51" i="1"/>
  <c r="H51" i="1"/>
  <c r="E51" i="1"/>
  <c r="D51" i="1"/>
  <c r="C51" i="1"/>
  <c r="P50" i="1"/>
  <c r="P49" i="1"/>
  <c r="N49" i="1"/>
  <c r="L49" i="1"/>
  <c r="M49" i="1" s="1"/>
  <c r="J49" i="1"/>
  <c r="I49" i="1"/>
  <c r="H49" i="1"/>
  <c r="F49" i="1"/>
  <c r="Q48" i="1"/>
  <c r="P48" i="1"/>
  <c r="N48" i="1"/>
  <c r="M48" i="1"/>
  <c r="L48" i="1"/>
  <c r="I48" i="1"/>
  <c r="J48" i="1" s="1"/>
  <c r="H48" i="1"/>
  <c r="F48" i="1"/>
  <c r="P47" i="1"/>
  <c r="N47" i="1"/>
  <c r="L47" i="1"/>
  <c r="I47" i="1"/>
  <c r="H47" i="1"/>
  <c r="F47" i="1"/>
  <c r="P46" i="1"/>
  <c r="N46" i="1"/>
  <c r="L46" i="1"/>
  <c r="J46" i="1"/>
  <c r="M46" i="1" s="1"/>
  <c r="I46" i="1"/>
  <c r="H46" i="1"/>
  <c r="F46" i="1"/>
  <c r="P45" i="1"/>
  <c r="N45" i="1"/>
  <c r="L45" i="1"/>
  <c r="M45" i="1" s="1"/>
  <c r="J45" i="1"/>
  <c r="I45" i="1"/>
  <c r="H45" i="1"/>
  <c r="F45" i="1"/>
  <c r="P44" i="1"/>
  <c r="N44" i="1"/>
  <c r="L44" i="1"/>
  <c r="I44" i="1"/>
  <c r="J44" i="1" s="1"/>
  <c r="H44" i="1"/>
  <c r="F44" i="1"/>
  <c r="E43" i="1"/>
  <c r="H43" i="1" s="1"/>
  <c r="D43" i="1"/>
  <c r="C43" i="1"/>
  <c r="P42" i="1"/>
  <c r="P41" i="1"/>
  <c r="N41" i="1"/>
  <c r="L41" i="1"/>
  <c r="J41" i="1"/>
  <c r="I41" i="1"/>
  <c r="H41" i="1"/>
  <c r="F41" i="1"/>
  <c r="P40" i="1"/>
  <c r="N40" i="1"/>
  <c r="L40" i="1"/>
  <c r="I40" i="1"/>
  <c r="H40" i="1"/>
  <c r="F40" i="1"/>
  <c r="Q39" i="1"/>
  <c r="P39" i="1"/>
  <c r="N39" i="1"/>
  <c r="L39" i="1"/>
  <c r="I39" i="1"/>
  <c r="J39" i="1" s="1"/>
  <c r="H39" i="1"/>
  <c r="F39" i="1"/>
  <c r="L38" i="1"/>
  <c r="K38" i="1" s="1"/>
  <c r="H38" i="1"/>
  <c r="E38" i="1"/>
  <c r="D38" i="1"/>
  <c r="C38" i="1"/>
  <c r="P37" i="1"/>
  <c r="P36" i="1"/>
  <c r="N36" i="1"/>
  <c r="L36" i="1"/>
  <c r="M36" i="1" s="1"/>
  <c r="J36" i="1"/>
  <c r="I36" i="1"/>
  <c r="H36" i="1"/>
  <c r="F36" i="1"/>
  <c r="P35" i="1"/>
  <c r="N35" i="1"/>
  <c r="L35" i="1"/>
  <c r="J35" i="1"/>
  <c r="I35" i="1"/>
  <c r="H35" i="1"/>
  <c r="F35" i="1"/>
  <c r="P34" i="1"/>
  <c r="N34" i="1"/>
  <c r="M34" i="1"/>
  <c r="L34" i="1"/>
  <c r="J34" i="1"/>
  <c r="I34" i="1"/>
  <c r="H34" i="1"/>
  <c r="F34" i="1"/>
  <c r="P33" i="1"/>
  <c r="N33" i="1"/>
  <c r="L33" i="1"/>
  <c r="I33" i="1"/>
  <c r="H33" i="1"/>
  <c r="F33" i="1"/>
  <c r="L32" i="1"/>
  <c r="E32" i="1"/>
  <c r="D32" i="1"/>
  <c r="H32" i="1" s="1"/>
  <c r="C32" i="1"/>
  <c r="K32" i="1" s="1"/>
  <c r="P31" i="1"/>
  <c r="P30" i="1"/>
  <c r="N30" i="1"/>
  <c r="L30" i="1"/>
  <c r="I30" i="1"/>
  <c r="H30" i="1"/>
  <c r="F30" i="1"/>
  <c r="P29" i="1"/>
  <c r="N29" i="1"/>
  <c r="L29" i="1"/>
  <c r="I29" i="1"/>
  <c r="J29" i="1" s="1"/>
  <c r="H29" i="1"/>
  <c r="F29" i="1"/>
  <c r="L28" i="1"/>
  <c r="E28" i="1"/>
  <c r="D28" i="1"/>
  <c r="H28" i="1" s="1"/>
  <c r="C28" i="1"/>
  <c r="K28" i="1" s="1"/>
  <c r="Q27" i="1"/>
  <c r="P27" i="1"/>
  <c r="Q26" i="1"/>
  <c r="P26" i="1"/>
  <c r="N26" i="1"/>
  <c r="L26" i="1"/>
  <c r="M26" i="1" s="1"/>
  <c r="I26" i="1"/>
  <c r="J26" i="1" s="1"/>
  <c r="H26" i="1"/>
  <c r="F26" i="1"/>
  <c r="P25" i="1"/>
  <c r="N25" i="1"/>
  <c r="L25" i="1"/>
  <c r="I25" i="1"/>
  <c r="J25" i="1" s="1"/>
  <c r="H25" i="1"/>
  <c r="F25" i="1"/>
  <c r="L24" i="1"/>
  <c r="K24" i="1" s="1"/>
  <c r="L5" i="4" s="1"/>
  <c r="E24" i="1"/>
  <c r="H24" i="1" s="1"/>
  <c r="D24" i="1"/>
  <c r="C24" i="1"/>
  <c r="P23" i="1"/>
  <c r="P22" i="1"/>
  <c r="P21" i="1"/>
  <c r="N21" i="1"/>
  <c r="L21" i="1"/>
  <c r="I21" i="1"/>
  <c r="J21" i="1" s="1"/>
  <c r="H21" i="1"/>
  <c r="F21" i="1"/>
  <c r="E20" i="1"/>
  <c r="D20" i="1"/>
  <c r="H20" i="1" s="1"/>
  <c r="C20" i="1"/>
  <c r="Q17" i="1"/>
  <c r="Q23" i="1" s="1"/>
  <c r="Q16" i="1"/>
  <c r="M29" i="1" l="1"/>
  <c r="M33" i="1"/>
  <c r="M32" i="1" s="1"/>
  <c r="L62" i="1"/>
  <c r="M21" i="1"/>
  <c r="L20" i="1"/>
  <c r="K20" i="1" s="1"/>
  <c r="L2" i="4" s="1"/>
  <c r="M2" i="4" s="1"/>
  <c r="M25" i="1"/>
  <c r="M24" i="1" s="1"/>
  <c r="J24" i="1"/>
  <c r="I24" i="1" s="1"/>
  <c r="J5" i="4" s="1"/>
  <c r="M5" i="4" s="1"/>
  <c r="J20" i="1"/>
  <c r="I20" i="1" s="1"/>
  <c r="Q29" i="1"/>
  <c r="Q30" i="1"/>
  <c r="J33" i="1"/>
  <c r="J32" i="1" s="1"/>
  <c r="I32" i="1" s="1"/>
  <c r="Q49" i="1"/>
  <c r="P62" i="1"/>
  <c r="J30" i="1"/>
  <c r="M30" i="1" s="1"/>
  <c r="M39" i="1"/>
  <c r="Q59" i="1"/>
  <c r="B9" i="2"/>
  <c r="Q66" i="1"/>
  <c r="R17" i="1"/>
  <c r="R16" i="1"/>
  <c r="Q21" i="1"/>
  <c r="Q22" i="1"/>
  <c r="M35" i="1"/>
  <c r="Q60" i="1"/>
  <c r="Q57" i="1"/>
  <c r="Q55" i="1"/>
  <c r="Q54" i="1"/>
  <c r="Q46" i="1"/>
  <c r="Q44" i="1"/>
  <c r="Q53" i="1"/>
  <c r="Q52" i="1"/>
  <c r="Q42" i="1"/>
  <c r="Q41" i="1"/>
  <c r="Q40" i="1"/>
  <c r="C9" i="2"/>
  <c r="Q47" i="1"/>
  <c r="Q35" i="1"/>
  <c r="Q34" i="1"/>
  <c r="Q45" i="1"/>
  <c r="Q33" i="1"/>
  <c r="Q58" i="1"/>
  <c r="Q37" i="1"/>
  <c r="Q36" i="1"/>
  <c r="Q31" i="1"/>
  <c r="J40" i="1"/>
  <c r="M40" i="1" s="1"/>
  <c r="Q50" i="1"/>
  <c r="Q25" i="1"/>
  <c r="L43" i="1"/>
  <c r="K43" i="1" s="1"/>
  <c r="M44" i="1"/>
  <c r="M43" i="1" s="1"/>
  <c r="M41" i="1"/>
  <c r="J47" i="1"/>
  <c r="M47" i="1" s="1"/>
  <c r="M52" i="1"/>
  <c r="M51" i="1" s="1"/>
  <c r="J56" i="1"/>
  <c r="I56" i="1" s="1"/>
  <c r="M60" i="1"/>
  <c r="K51" i="1"/>
  <c r="M57" i="1"/>
  <c r="M56" i="1" s="1"/>
  <c r="J62" i="8"/>
  <c r="B11" i="8" s="1"/>
  <c r="D11" i="8" s="1"/>
  <c r="J20" i="8"/>
  <c r="M54" i="1"/>
  <c r="M33" i="8"/>
  <c r="M32" i="8" s="1"/>
  <c r="J32" i="8"/>
  <c r="Q60" i="8"/>
  <c r="Q56" i="8"/>
  <c r="Q47" i="8"/>
  <c r="Q59" i="8"/>
  <c r="Q57" i="8"/>
  <c r="Q55" i="8"/>
  <c r="Q44" i="8"/>
  <c r="Q58" i="8"/>
  <c r="Q53" i="8"/>
  <c r="Q50" i="8"/>
  <c r="Q39" i="8"/>
  <c r="Q52" i="8"/>
  <c r="Q43" i="8"/>
  <c r="Q51" i="8"/>
  <c r="Q48" i="8"/>
  <c r="Q54" i="8"/>
  <c r="Q49" i="8"/>
  <c r="Q45" i="8"/>
  <c r="Q42" i="8"/>
  <c r="Q41" i="8"/>
  <c r="Q46" i="8"/>
  <c r="Q33" i="8"/>
  <c r="Q36" i="8"/>
  <c r="Q31" i="8"/>
  <c r="Q30" i="8"/>
  <c r="Q37" i="8"/>
  <c r="Q35" i="8"/>
  <c r="Q25" i="8"/>
  <c r="Q32" i="8"/>
  <c r="Q29" i="8"/>
  <c r="Q40" i="8"/>
  <c r="Q34" i="8"/>
  <c r="P62" i="8"/>
  <c r="P67" i="8" s="1"/>
  <c r="P69" i="8" s="1"/>
  <c r="Q27" i="8"/>
  <c r="R17" i="8"/>
  <c r="R66" i="8" s="1"/>
  <c r="Q21" i="8"/>
  <c r="Q22" i="8"/>
  <c r="M29" i="8"/>
  <c r="J28" i="8"/>
  <c r="J24" i="8" s="1"/>
  <c r="Q23" i="8"/>
  <c r="Q26" i="8"/>
  <c r="J43" i="8"/>
  <c r="M44" i="8"/>
  <c r="M43" i="8" s="1"/>
  <c r="L20" i="8"/>
  <c r="M21" i="8"/>
  <c r="M30" i="8"/>
  <c r="L38" i="8"/>
  <c r="M40" i="8"/>
  <c r="M38" i="8" s="1"/>
  <c r="M36" i="8"/>
  <c r="L51" i="8"/>
  <c r="J40" i="8"/>
  <c r="J38" i="8" s="1"/>
  <c r="J51" i="8"/>
  <c r="M47" i="8"/>
  <c r="M52" i="8"/>
  <c r="M51" i="8" s="1"/>
  <c r="L56" i="8"/>
  <c r="M57" i="8"/>
  <c r="M56" i="8" s="1"/>
  <c r="L43" i="8"/>
  <c r="M48" i="8"/>
  <c r="M62" i="8" l="1"/>
  <c r="M20" i="8"/>
  <c r="L17" i="4"/>
  <c r="C11" i="1"/>
  <c r="R60" i="1"/>
  <c r="R50" i="1"/>
  <c r="R49" i="1"/>
  <c r="C10" i="2"/>
  <c r="R59" i="1"/>
  <c r="R58" i="1"/>
  <c r="R55" i="1"/>
  <c r="R54" i="1"/>
  <c r="R53" i="1"/>
  <c r="R45" i="1"/>
  <c r="R48" i="1"/>
  <c r="R57" i="1"/>
  <c r="R46" i="1"/>
  <c r="R41" i="1"/>
  <c r="R34" i="1"/>
  <c r="R52" i="1"/>
  <c r="R44" i="1"/>
  <c r="R42" i="1"/>
  <c r="R47" i="1"/>
  <c r="R31" i="1"/>
  <c r="R30" i="1"/>
  <c r="R40" i="1"/>
  <c r="R39" i="1"/>
  <c r="R35" i="1"/>
  <c r="S16" i="1"/>
  <c r="R23" i="1"/>
  <c r="R22" i="1"/>
  <c r="R21" i="1"/>
  <c r="S17" i="1"/>
  <c r="R33" i="1"/>
  <c r="R27" i="1"/>
  <c r="R26" i="1"/>
  <c r="R37" i="1"/>
  <c r="R36" i="1"/>
  <c r="R29" i="1"/>
  <c r="R25" i="1"/>
  <c r="M28" i="8"/>
  <c r="M24" i="8" s="1"/>
  <c r="J43" i="1"/>
  <c r="I43" i="1" s="1"/>
  <c r="J28" i="1"/>
  <c r="I28" i="1" s="1"/>
  <c r="J38" i="1"/>
  <c r="I38" i="1" s="1"/>
  <c r="Q62" i="1"/>
  <c r="M38" i="1"/>
  <c r="M28" i="1"/>
  <c r="P67" i="1"/>
  <c r="Q62" i="8"/>
  <c r="Q67" i="8" s="1"/>
  <c r="Q69" i="8" s="1"/>
  <c r="R60" i="8"/>
  <c r="R54" i="8"/>
  <c r="R46" i="8"/>
  <c r="R58" i="8"/>
  <c r="R52" i="8"/>
  <c r="R43" i="8"/>
  <c r="R55" i="8"/>
  <c r="R59" i="8"/>
  <c r="R49" i="8"/>
  <c r="R45" i="8"/>
  <c r="R42" i="8"/>
  <c r="R41" i="8"/>
  <c r="R36" i="8"/>
  <c r="R40" i="8"/>
  <c r="R56" i="8"/>
  <c r="R53" i="8"/>
  <c r="R51" i="8"/>
  <c r="R50" i="8"/>
  <c r="R47" i="8"/>
  <c r="R37" i="8"/>
  <c r="R35" i="8"/>
  <c r="R57" i="8"/>
  <c r="R34" i="8"/>
  <c r="R48" i="8"/>
  <c r="R39" i="8"/>
  <c r="R33" i="8"/>
  <c r="R27" i="8"/>
  <c r="R26" i="8"/>
  <c r="R30" i="8"/>
  <c r="R24" i="8"/>
  <c r="R29" i="8"/>
  <c r="R31" i="8"/>
  <c r="R44" i="8"/>
  <c r="R23" i="8"/>
  <c r="R25" i="8"/>
  <c r="R22" i="8"/>
  <c r="R21" i="8"/>
  <c r="S17" i="8"/>
  <c r="S16" i="8"/>
  <c r="B10" i="2"/>
  <c r="R66" i="1"/>
  <c r="J62" i="1"/>
  <c r="M62" i="1"/>
  <c r="M20" i="1"/>
  <c r="S66" i="8" l="1"/>
  <c r="R62" i="1"/>
  <c r="E8" i="2"/>
  <c r="P69" i="1"/>
  <c r="B11" i="2"/>
  <c r="S66" i="1"/>
  <c r="R62" i="8"/>
  <c r="R67" i="8" s="1"/>
  <c r="R69" i="8" s="1"/>
  <c r="Q67" i="1"/>
  <c r="E9" i="2" s="1"/>
  <c r="D4" i="2"/>
  <c r="D11" i="1"/>
  <c r="E4" i="2" s="1"/>
  <c r="S60" i="8"/>
  <c r="S59" i="8"/>
  <c r="S58" i="8"/>
  <c r="S45" i="8"/>
  <c r="S52" i="8"/>
  <c r="S50" i="8"/>
  <c r="S49" i="8"/>
  <c r="S57" i="8"/>
  <c r="S47" i="8"/>
  <c r="S56" i="8"/>
  <c r="S51" i="8"/>
  <c r="S48" i="8"/>
  <c r="S44" i="8"/>
  <c r="S54" i="8"/>
  <c r="S40" i="8"/>
  <c r="S53" i="8"/>
  <c r="S46" i="8"/>
  <c r="S55" i="8"/>
  <c r="S43" i="8"/>
  <c r="S42" i="8"/>
  <c r="S41" i="8"/>
  <c r="S37" i="8"/>
  <c r="S35" i="8"/>
  <c r="S34" i="8"/>
  <c r="S39" i="8"/>
  <c r="S33" i="8"/>
  <c r="S30" i="8"/>
  <c r="S25" i="8"/>
  <c r="S29" i="8"/>
  <c r="S31" i="8"/>
  <c r="S36" i="8"/>
  <c r="S27" i="8"/>
  <c r="S26" i="8"/>
  <c r="S24" i="8"/>
  <c r="S22" i="8"/>
  <c r="S21" i="8"/>
  <c r="T17" i="8"/>
  <c r="T16" i="8"/>
  <c r="T66" i="8" s="1"/>
  <c r="S23" i="8"/>
  <c r="J17" i="4"/>
  <c r="B11" i="1"/>
  <c r="C4" i="2" s="1"/>
  <c r="F4" i="2" s="1"/>
  <c r="G4" i="2" s="1"/>
  <c r="S59" i="1"/>
  <c r="S58" i="1"/>
  <c r="S48" i="1"/>
  <c r="S57" i="1"/>
  <c r="C11" i="2"/>
  <c r="S53" i="1"/>
  <c r="S52" i="1"/>
  <c r="S44" i="1"/>
  <c r="S60" i="1"/>
  <c r="S55" i="1"/>
  <c r="S54" i="1"/>
  <c r="S50" i="1"/>
  <c r="S49" i="1"/>
  <c r="S47" i="1"/>
  <c r="S42" i="1"/>
  <c r="S33" i="1"/>
  <c r="S45" i="1"/>
  <c r="S31" i="1"/>
  <c r="S30" i="1"/>
  <c r="S46" i="1"/>
  <c r="S40" i="1"/>
  <c r="S39" i="1"/>
  <c r="S41" i="1"/>
  <c r="S23" i="1"/>
  <c r="S22" i="1"/>
  <c r="S21" i="1"/>
  <c r="T16" i="1"/>
  <c r="T17" i="1"/>
  <c r="S35" i="1"/>
  <c r="S37" i="1"/>
  <c r="S25" i="1"/>
  <c r="S36" i="1"/>
  <c r="S29" i="1"/>
  <c r="S34" i="1"/>
  <c r="S27" i="1"/>
  <c r="S26" i="1"/>
  <c r="G8" i="2" l="1"/>
  <c r="H8" i="2" s="1"/>
  <c r="F8" i="2"/>
  <c r="S62" i="8"/>
  <c r="S67" i="8" s="1"/>
  <c r="S69" i="8" s="1"/>
  <c r="T57" i="1"/>
  <c r="T47" i="1"/>
  <c r="T52" i="1"/>
  <c r="C12" i="2"/>
  <c r="T60" i="1"/>
  <c r="T48" i="1"/>
  <c r="T59" i="1"/>
  <c r="T50" i="1"/>
  <c r="T49" i="1"/>
  <c r="T58" i="1"/>
  <c r="T46" i="1"/>
  <c r="T45" i="1"/>
  <c r="T44" i="1"/>
  <c r="T40" i="1"/>
  <c r="T39" i="1"/>
  <c r="T53" i="1"/>
  <c r="T37" i="1"/>
  <c r="T36" i="1"/>
  <c r="T55" i="1"/>
  <c r="T42" i="1"/>
  <c r="T31" i="1"/>
  <c r="U17" i="1"/>
  <c r="T29" i="1"/>
  <c r="T27" i="1"/>
  <c r="T26" i="1"/>
  <c r="T54" i="1"/>
  <c r="T34" i="1"/>
  <c r="T30" i="1"/>
  <c r="T41" i="1"/>
  <c r="T33" i="1"/>
  <c r="T25" i="1"/>
  <c r="T35" i="1"/>
  <c r="U16" i="1"/>
  <c r="T23" i="1"/>
  <c r="T21" i="1"/>
  <c r="T22" i="1"/>
  <c r="T66" i="1"/>
  <c r="B12" i="2"/>
  <c r="R67" i="1"/>
  <c r="E10" i="2" s="1"/>
  <c r="S62" i="1"/>
  <c r="T60" i="8"/>
  <c r="T59" i="8"/>
  <c r="T58" i="8"/>
  <c r="T55" i="8"/>
  <c r="T54" i="8"/>
  <c r="T57" i="8"/>
  <c r="T44" i="8"/>
  <c r="T50" i="8"/>
  <c r="T49" i="8"/>
  <c r="T53" i="8"/>
  <c r="T51" i="8"/>
  <c r="T48" i="8"/>
  <c r="T43" i="8"/>
  <c r="T46" i="8"/>
  <c r="T39" i="8"/>
  <c r="T40" i="8"/>
  <c r="T47" i="8"/>
  <c r="T45" i="8"/>
  <c r="T34" i="8"/>
  <c r="T33" i="8"/>
  <c r="T36" i="8"/>
  <c r="T24" i="8"/>
  <c r="T42" i="8"/>
  <c r="T29" i="8"/>
  <c r="T56" i="8"/>
  <c r="T52" i="8"/>
  <c r="T31" i="8"/>
  <c r="T28" i="8"/>
  <c r="T41" i="8"/>
  <c r="T37" i="8"/>
  <c r="T35" i="8"/>
  <c r="T30" i="8"/>
  <c r="T25" i="8"/>
  <c r="T26" i="8"/>
  <c r="T22" i="8"/>
  <c r="T21" i="8"/>
  <c r="U17" i="8"/>
  <c r="U16" i="8"/>
  <c r="U66" i="8" s="1"/>
  <c r="T27" i="8"/>
  <c r="T23" i="8"/>
  <c r="B13" i="2" l="1"/>
  <c r="U66" i="1"/>
  <c r="U60" i="8"/>
  <c r="U59" i="8"/>
  <c r="U58" i="8"/>
  <c r="U55" i="8"/>
  <c r="U54" i="8"/>
  <c r="U57" i="8"/>
  <c r="U56" i="8"/>
  <c r="U53" i="8"/>
  <c r="U51" i="8"/>
  <c r="U48" i="8"/>
  <c r="U47" i="8"/>
  <c r="U52" i="8"/>
  <c r="U42" i="8"/>
  <c r="U41" i="8"/>
  <c r="U49" i="8"/>
  <c r="U46" i="8"/>
  <c r="U50" i="8"/>
  <c r="U44" i="8"/>
  <c r="U31" i="8"/>
  <c r="U30" i="8"/>
  <c r="U33" i="8"/>
  <c r="U39" i="8"/>
  <c r="U36" i="8"/>
  <c r="U32" i="8"/>
  <c r="U29" i="8"/>
  <c r="U28" i="8"/>
  <c r="V16" i="8"/>
  <c r="U45" i="8"/>
  <c r="U43" i="8"/>
  <c r="U37" i="8"/>
  <c r="U35" i="8"/>
  <c r="U23" i="8"/>
  <c r="U22" i="8"/>
  <c r="U21" i="8"/>
  <c r="V17" i="8"/>
  <c r="U40" i="8"/>
  <c r="U25" i="8"/>
  <c r="U34" i="8"/>
  <c r="U27" i="8"/>
  <c r="U26" i="8"/>
  <c r="U24" i="8"/>
  <c r="S67" i="1"/>
  <c r="E11" i="2" s="1"/>
  <c r="U55" i="1"/>
  <c r="U54" i="1"/>
  <c r="U60" i="1"/>
  <c r="U50" i="1"/>
  <c r="U48" i="1"/>
  <c r="U42" i="1"/>
  <c r="U41" i="1"/>
  <c r="U59" i="1"/>
  <c r="U53" i="1"/>
  <c r="U52" i="1"/>
  <c r="U58" i="1"/>
  <c r="U47" i="1"/>
  <c r="U46" i="1"/>
  <c r="C13" i="2"/>
  <c r="U45" i="1"/>
  <c r="U40" i="1"/>
  <c r="U39" i="1"/>
  <c r="U37" i="1"/>
  <c r="U36" i="1"/>
  <c r="U35" i="1"/>
  <c r="U44" i="1"/>
  <c r="U22" i="1"/>
  <c r="U29" i="1"/>
  <c r="U23" i="1"/>
  <c r="U25" i="1"/>
  <c r="U21" i="1"/>
  <c r="U31" i="1"/>
  <c r="U49" i="1"/>
  <c r="U34" i="1"/>
  <c r="U30" i="1"/>
  <c r="U27" i="1"/>
  <c r="U26" i="1"/>
  <c r="U57" i="1"/>
  <c r="U33" i="1"/>
  <c r="V16" i="1"/>
  <c r="V17" i="1"/>
  <c r="T62" i="8"/>
  <c r="T67" i="8" s="1"/>
  <c r="T69" i="8" s="1"/>
  <c r="T62" i="1"/>
  <c r="U62" i="8" l="1"/>
  <c r="U67" i="8" s="1"/>
  <c r="U69" i="8" s="1"/>
  <c r="T67" i="1"/>
  <c r="E12" i="2" s="1"/>
  <c r="V55" i="1"/>
  <c r="V54" i="1"/>
  <c r="C14" i="2"/>
  <c r="V53" i="1"/>
  <c r="V60" i="1"/>
  <c r="V50" i="1"/>
  <c r="V49" i="1"/>
  <c r="V59" i="1"/>
  <c r="V58" i="1"/>
  <c r="V52" i="1"/>
  <c r="V45" i="1"/>
  <c r="V57" i="1"/>
  <c r="V44" i="1"/>
  <c r="V48" i="1"/>
  <c r="V40" i="1"/>
  <c r="V39" i="1"/>
  <c r="V47" i="1"/>
  <c r="V46" i="1"/>
  <c r="V37" i="1"/>
  <c r="V36" i="1"/>
  <c r="V35" i="1"/>
  <c r="V34" i="1"/>
  <c r="V29" i="1"/>
  <c r="W17" i="1"/>
  <c r="V30" i="1"/>
  <c r="V27" i="1"/>
  <c r="V26" i="1"/>
  <c r="V31" i="1"/>
  <c r="V33" i="1"/>
  <c r="V25" i="1"/>
  <c r="V42" i="1"/>
  <c r="V41" i="1"/>
  <c r="V23" i="1"/>
  <c r="V22" i="1"/>
  <c r="V21" i="1"/>
  <c r="W16" i="1"/>
  <c r="B14" i="2"/>
  <c r="V66" i="1"/>
  <c r="U62" i="1"/>
  <c r="V60" i="8"/>
  <c r="V59" i="8"/>
  <c r="V58" i="8"/>
  <c r="V55" i="8"/>
  <c r="V54" i="8"/>
  <c r="V57" i="8"/>
  <c r="V56" i="8"/>
  <c r="V53" i="8"/>
  <c r="V52" i="8"/>
  <c r="V43" i="8"/>
  <c r="V47" i="8"/>
  <c r="V46" i="8"/>
  <c r="V44" i="8"/>
  <c r="V45" i="8"/>
  <c r="V40" i="8"/>
  <c r="V50" i="8"/>
  <c r="V49" i="8"/>
  <c r="V37" i="8"/>
  <c r="V35" i="8"/>
  <c r="V51" i="8"/>
  <c r="V39" i="8"/>
  <c r="V36" i="8"/>
  <c r="V32" i="8"/>
  <c r="V29" i="8"/>
  <c r="V42" i="8"/>
  <c r="V28" i="8"/>
  <c r="V31" i="8"/>
  <c r="W17" i="8"/>
  <c r="V41" i="8"/>
  <c r="V27" i="8"/>
  <c r="V26" i="8"/>
  <c r="V34" i="8"/>
  <c r="V48" i="8"/>
  <c r="V33" i="8"/>
  <c r="V21" i="8"/>
  <c r="V25" i="8"/>
  <c r="V22" i="8"/>
  <c r="V30" i="8"/>
  <c r="W16" i="8"/>
  <c r="W66" i="8" s="1"/>
  <c r="V23" i="8"/>
  <c r="V24" i="8"/>
  <c r="V66" i="8"/>
  <c r="B15" i="2" l="1"/>
  <c r="W66" i="1"/>
  <c r="U67" i="1"/>
  <c r="E13" i="2" s="1"/>
  <c r="V62" i="1"/>
  <c r="V67" i="1" s="1"/>
  <c r="E14" i="2" s="1"/>
  <c r="V62" i="8"/>
  <c r="V67" i="8" s="1"/>
  <c r="V69" i="8" s="1"/>
  <c r="W53" i="1"/>
  <c r="W52" i="1"/>
  <c r="C15" i="2"/>
  <c r="W60" i="1"/>
  <c r="W59" i="1"/>
  <c r="W58" i="1"/>
  <c r="W48" i="1"/>
  <c r="W57" i="1"/>
  <c r="W55" i="1"/>
  <c r="W54" i="1"/>
  <c r="W49" i="1"/>
  <c r="W47" i="1"/>
  <c r="W46" i="1"/>
  <c r="W44" i="1"/>
  <c r="W37" i="1"/>
  <c r="W36" i="1"/>
  <c r="W35" i="1"/>
  <c r="W34" i="1"/>
  <c r="W50" i="1"/>
  <c r="W41" i="1"/>
  <c r="W45" i="1"/>
  <c r="W40" i="1"/>
  <c r="W39" i="1"/>
  <c r="W30" i="1"/>
  <c r="W27" i="1"/>
  <c r="W26" i="1"/>
  <c r="W33" i="1"/>
  <c r="W25" i="1"/>
  <c r="W23" i="1"/>
  <c r="W22" i="1"/>
  <c r="W21" i="1"/>
  <c r="X16" i="1"/>
  <c r="W29" i="1"/>
  <c r="W42" i="1"/>
  <c r="W31" i="1"/>
  <c r="X17" i="1"/>
  <c r="W60" i="8"/>
  <c r="W59" i="8"/>
  <c r="W58" i="8"/>
  <c r="W57" i="8"/>
  <c r="W56" i="8"/>
  <c r="W53" i="8"/>
  <c r="W52" i="8"/>
  <c r="W55" i="8"/>
  <c r="W50" i="8"/>
  <c r="W49" i="8"/>
  <c r="W46" i="8"/>
  <c r="W45" i="8"/>
  <c r="W51" i="8"/>
  <c r="W48" i="8"/>
  <c r="W42" i="8"/>
  <c r="W41" i="8"/>
  <c r="W39" i="8"/>
  <c r="W54" i="8"/>
  <c r="W47" i="8"/>
  <c r="W43" i="8"/>
  <c r="W44" i="8"/>
  <c r="W37" i="8"/>
  <c r="W35" i="8"/>
  <c r="W34" i="8"/>
  <c r="W40" i="8"/>
  <c r="W28" i="8"/>
  <c r="W31" i="8"/>
  <c r="W32" i="8"/>
  <c r="W23" i="8"/>
  <c r="W22" i="8"/>
  <c r="W21" i="8"/>
  <c r="W27" i="8"/>
  <c r="W26" i="8"/>
  <c r="W36" i="8"/>
  <c r="W25" i="8"/>
  <c r="W30" i="8"/>
  <c r="W29" i="8"/>
  <c r="X17" i="8"/>
  <c r="X16" i="8"/>
  <c r="X66" i="8" s="1"/>
  <c r="W33" i="8"/>
  <c r="W24" i="8"/>
  <c r="X66" i="1" l="1"/>
  <c r="B16" i="2"/>
  <c r="W62" i="1"/>
  <c r="W62" i="8"/>
  <c r="W67" i="8" s="1"/>
  <c r="W69" i="8" s="1"/>
  <c r="X59" i="8"/>
  <c r="X57" i="8"/>
  <c r="X52" i="8"/>
  <c r="X51" i="8"/>
  <c r="X48" i="8"/>
  <c r="X53" i="8"/>
  <c r="X45" i="8"/>
  <c r="X56" i="8"/>
  <c r="X44" i="8"/>
  <c r="X60" i="8"/>
  <c r="X55" i="8"/>
  <c r="X40" i="8"/>
  <c r="X49" i="8"/>
  <c r="X37" i="8"/>
  <c r="X36" i="8"/>
  <c r="X58" i="8"/>
  <c r="X50" i="8"/>
  <c r="X47" i="8"/>
  <c r="X43" i="8"/>
  <c r="X34" i="8"/>
  <c r="X42" i="8"/>
  <c r="X41" i="8"/>
  <c r="X33" i="8"/>
  <c r="X31" i="8"/>
  <c r="X32" i="8"/>
  <c r="X27" i="8"/>
  <c r="X26" i="8"/>
  <c r="X35" i="8"/>
  <c r="X25" i="8"/>
  <c r="X30" i="8"/>
  <c r="X24" i="8"/>
  <c r="X54" i="8"/>
  <c r="X39" i="8"/>
  <c r="X28" i="8"/>
  <c r="X22" i="8"/>
  <c r="Y16" i="8"/>
  <c r="X46" i="8"/>
  <c r="X23" i="8"/>
  <c r="X29" i="8"/>
  <c r="X21" i="8"/>
  <c r="Y17" i="8"/>
  <c r="X52" i="1"/>
  <c r="X59" i="1"/>
  <c r="X58" i="1"/>
  <c r="X57" i="1"/>
  <c r="X47" i="1"/>
  <c r="C16" i="2"/>
  <c r="X55" i="1"/>
  <c r="X54" i="1"/>
  <c r="X53" i="1"/>
  <c r="X49" i="1"/>
  <c r="X50" i="1"/>
  <c r="X45" i="1"/>
  <c r="X42" i="1"/>
  <c r="X41" i="1"/>
  <c r="X60" i="1"/>
  <c r="X37" i="1"/>
  <c r="X36" i="1"/>
  <c r="X46" i="1"/>
  <c r="X35" i="1"/>
  <c r="X34" i="1"/>
  <c r="X33" i="1"/>
  <c r="X30" i="1"/>
  <c r="X27" i="1"/>
  <c r="X26" i="1"/>
  <c r="Y17" i="1"/>
  <c r="X25" i="1"/>
  <c r="X29" i="1"/>
  <c r="Y16" i="1"/>
  <c r="X23" i="1"/>
  <c r="X22" i="1"/>
  <c r="X21" i="1"/>
  <c r="X39" i="1"/>
  <c r="X40" i="1"/>
  <c r="X31" i="1"/>
  <c r="X48" i="1"/>
  <c r="X44" i="1"/>
  <c r="X62" i="8" l="1"/>
  <c r="X67" i="8" s="1"/>
  <c r="X69" i="8" s="1"/>
  <c r="X62" i="1"/>
  <c r="B17" i="2"/>
  <c r="Y66" i="1"/>
  <c r="W67" i="1"/>
  <c r="E15" i="2" s="1"/>
  <c r="Y60" i="1"/>
  <c r="Y57" i="1"/>
  <c r="Y55" i="1"/>
  <c r="Y54" i="1"/>
  <c r="Y59" i="1"/>
  <c r="Y53" i="1"/>
  <c r="Y52" i="1"/>
  <c r="Y49" i="1"/>
  <c r="Y46" i="1"/>
  <c r="Y50" i="1"/>
  <c r="Y44" i="1"/>
  <c r="C17" i="2"/>
  <c r="Y42" i="1"/>
  <c r="Y41" i="1"/>
  <c r="Y48" i="1"/>
  <c r="Y40" i="1"/>
  <c r="Y47" i="1"/>
  <c r="Y35" i="1"/>
  <c r="Y34" i="1"/>
  <c r="Y58" i="1"/>
  <c r="Y33" i="1"/>
  <c r="Y37" i="1"/>
  <c r="Y36" i="1"/>
  <c r="Y45" i="1"/>
  <c r="Y25" i="1"/>
  <c r="Y23" i="1"/>
  <c r="Y22" i="1"/>
  <c r="Y21" i="1"/>
  <c r="Z16" i="1"/>
  <c r="Z17" i="1"/>
  <c r="Y30" i="1"/>
  <c r="Y31" i="1"/>
  <c r="Y39" i="1"/>
  <c r="Y29" i="1"/>
  <c r="Y26" i="1"/>
  <c r="Y27" i="1"/>
  <c r="Y60" i="8"/>
  <c r="Y59" i="8"/>
  <c r="Y52" i="8"/>
  <c r="Y47" i="8"/>
  <c r="Y56" i="8"/>
  <c r="Y44" i="8"/>
  <c r="Y54" i="8"/>
  <c r="Y39" i="8"/>
  <c r="Y46" i="8"/>
  <c r="Y53" i="8"/>
  <c r="Y42" i="8"/>
  <c r="Y41" i="8"/>
  <c r="Y33" i="8"/>
  <c r="Y48" i="8"/>
  <c r="Y32" i="8"/>
  <c r="Y50" i="8"/>
  <c r="Y57" i="8"/>
  <c r="Y40" i="8"/>
  <c r="Y31" i="8"/>
  <c r="Y30" i="8"/>
  <c r="Y35" i="8"/>
  <c r="Y58" i="8"/>
  <c r="Y45" i="8"/>
  <c r="Y25" i="8"/>
  <c r="Y55" i="8"/>
  <c r="Y37" i="8"/>
  <c r="Y36" i="8"/>
  <c r="Y49" i="8"/>
  <c r="Y34" i="8"/>
  <c r="Y29" i="8"/>
  <c r="Y27" i="8"/>
  <c r="Y23" i="8"/>
  <c r="Y24" i="8"/>
  <c r="Y26" i="8"/>
  <c r="Y21" i="8"/>
  <c r="Z17" i="8"/>
  <c r="Y51" i="8"/>
  <c r="Y28" i="8"/>
  <c r="Y22" i="8"/>
  <c r="Z16" i="8"/>
  <c r="Z66" i="8" s="1"/>
  <c r="Y66" i="8"/>
  <c r="Y62" i="8" l="1"/>
  <c r="Y67" i="8" s="1"/>
  <c r="Y69" i="8" s="1"/>
  <c r="B18" i="2"/>
  <c r="Z66" i="1"/>
  <c r="Z60" i="1"/>
  <c r="Z50" i="1"/>
  <c r="Z49" i="1"/>
  <c r="C18" i="2"/>
  <c r="Z59" i="1"/>
  <c r="Z58" i="1"/>
  <c r="Z55" i="1"/>
  <c r="Z54" i="1"/>
  <c r="Z53" i="1"/>
  <c r="Z47" i="1"/>
  <c r="Z45" i="1"/>
  <c r="Z57" i="1"/>
  <c r="Z48" i="1"/>
  <c r="Z52" i="1"/>
  <c r="Z46" i="1"/>
  <c r="Z34" i="1"/>
  <c r="Z41" i="1"/>
  <c r="Z31" i="1"/>
  <c r="Z30" i="1"/>
  <c r="Z42" i="1"/>
  <c r="Z39" i="1"/>
  <c r="Z35" i="1"/>
  <c r="Z22" i="1"/>
  <c r="Z21" i="1"/>
  <c r="Z33" i="1"/>
  <c r="Z23" i="1"/>
  <c r="AA16" i="1"/>
  <c r="Z26" i="1"/>
  <c r="Z36" i="1"/>
  <c r="AA17" i="1"/>
  <c r="Z40" i="1"/>
  <c r="Z44" i="1"/>
  <c r="Z29" i="1"/>
  <c r="Z37" i="1"/>
  <c r="Z27" i="1"/>
  <c r="Z25" i="1"/>
  <c r="Y62" i="1"/>
  <c r="Y67" i="1" s="1"/>
  <c r="E17" i="2" s="1"/>
  <c r="X67" i="1"/>
  <c r="E16" i="2" s="1"/>
  <c r="Z60" i="8"/>
  <c r="Z58" i="8"/>
  <c r="Z46" i="8"/>
  <c r="Z54" i="8"/>
  <c r="Z56" i="8"/>
  <c r="Z49" i="8"/>
  <c r="Z45" i="8"/>
  <c r="Z50" i="8"/>
  <c r="Z53" i="8"/>
  <c r="Z47" i="8"/>
  <c r="Z42" i="8"/>
  <c r="Z41" i="8"/>
  <c r="Z57" i="8"/>
  <c r="Z55" i="8"/>
  <c r="Z51" i="8"/>
  <c r="Z48" i="8"/>
  <c r="Z44" i="8"/>
  <c r="Z36" i="8"/>
  <c r="Z40" i="8"/>
  <c r="Z35" i="8"/>
  <c r="Z37" i="8"/>
  <c r="Z34" i="8"/>
  <c r="Z32" i="8"/>
  <c r="Z27" i="8"/>
  <c r="Z26" i="8"/>
  <c r="Z52" i="8"/>
  <c r="Z24" i="8"/>
  <c r="Z30" i="8"/>
  <c r="Z29" i="8"/>
  <c r="Z33" i="8"/>
  <c r="Z59" i="8"/>
  <c r="Z31" i="8"/>
  <c r="Z25" i="8"/>
  <c r="Z39" i="8"/>
  <c r="Z23" i="8"/>
  <c r="Z21" i="8"/>
  <c r="AA17" i="8"/>
  <c r="Z28" i="8"/>
  <c r="Z22" i="8"/>
  <c r="AA16" i="8"/>
  <c r="AA60" i="8" l="1"/>
  <c r="AA59" i="8"/>
  <c r="AA58" i="8"/>
  <c r="AA53" i="8"/>
  <c r="AA45" i="8"/>
  <c r="AA55" i="8"/>
  <c r="AA50" i="8"/>
  <c r="AA49" i="8"/>
  <c r="AA54" i="8"/>
  <c r="AA57" i="8"/>
  <c r="AA51" i="8"/>
  <c r="AA48" i="8"/>
  <c r="AA44" i="8"/>
  <c r="AA40" i="8"/>
  <c r="AA52" i="8"/>
  <c r="AA42" i="8"/>
  <c r="AA41" i="8"/>
  <c r="AA36" i="8"/>
  <c r="AA39" i="8"/>
  <c r="AA35" i="8"/>
  <c r="AA37" i="8"/>
  <c r="AA34" i="8"/>
  <c r="AA46" i="8"/>
  <c r="AA33" i="8"/>
  <c r="AA25" i="8"/>
  <c r="AA56" i="8"/>
  <c r="AA30" i="8"/>
  <c r="AA47" i="8"/>
  <c r="AA29" i="8"/>
  <c r="AA28" i="8"/>
  <c r="AA32" i="8"/>
  <c r="AA27" i="8"/>
  <c r="AA26" i="8"/>
  <c r="AA23" i="8"/>
  <c r="AA24" i="8"/>
  <c r="AA21" i="8"/>
  <c r="AB17" i="8"/>
  <c r="AA31" i="8"/>
  <c r="AA22" i="8"/>
  <c r="AB16" i="8"/>
  <c r="B19" i="2"/>
  <c r="AA66" i="1"/>
  <c r="Z62" i="8"/>
  <c r="Z67" i="8" s="1"/>
  <c r="Z69" i="8" s="1"/>
  <c r="Z62" i="1"/>
  <c r="Z67" i="1" s="1"/>
  <c r="E18" i="2" s="1"/>
  <c r="AA66" i="8"/>
  <c r="AA59" i="1"/>
  <c r="AA58" i="1"/>
  <c r="AA48" i="1"/>
  <c r="AA57" i="1"/>
  <c r="C19" i="2"/>
  <c r="AA53" i="1"/>
  <c r="AA52" i="1"/>
  <c r="AA55" i="1"/>
  <c r="AA54" i="1"/>
  <c r="AA50" i="1"/>
  <c r="AA44" i="1"/>
  <c r="AA49" i="1"/>
  <c r="AA47" i="1"/>
  <c r="AA46" i="1"/>
  <c r="AA33" i="1"/>
  <c r="AA60" i="1"/>
  <c r="AA41" i="1"/>
  <c r="AA31" i="1"/>
  <c r="AA30" i="1"/>
  <c r="AA42" i="1"/>
  <c r="AA39" i="1"/>
  <c r="AA40" i="1"/>
  <c r="AA23" i="1"/>
  <c r="AA22" i="1"/>
  <c r="AA21" i="1"/>
  <c r="AB16" i="1"/>
  <c r="AA36" i="1"/>
  <c r="AB17" i="1"/>
  <c r="AA25" i="1"/>
  <c r="AA34" i="1"/>
  <c r="AA29" i="1"/>
  <c r="AA37" i="1"/>
  <c r="AA35" i="1"/>
  <c r="AA27" i="1"/>
  <c r="AA26" i="1"/>
  <c r="AA45" i="1"/>
  <c r="AB60" i="8" l="1"/>
  <c r="AB59" i="8"/>
  <c r="AB58" i="8"/>
  <c r="AB55" i="8"/>
  <c r="AB54" i="8"/>
  <c r="AB56" i="8"/>
  <c r="AB44" i="8"/>
  <c r="AB50" i="8"/>
  <c r="AB49" i="8"/>
  <c r="AB57" i="8"/>
  <c r="AB48" i="8"/>
  <c r="AB46" i="8"/>
  <c r="AB47" i="8"/>
  <c r="AB52" i="8"/>
  <c r="AB39" i="8"/>
  <c r="AB45" i="8"/>
  <c r="AB37" i="8"/>
  <c r="AB34" i="8"/>
  <c r="AB33" i="8"/>
  <c r="AB53" i="8"/>
  <c r="AB42" i="8"/>
  <c r="AB24" i="8"/>
  <c r="AB30" i="8"/>
  <c r="AB41" i="8"/>
  <c r="AB36" i="8"/>
  <c r="AB35" i="8"/>
  <c r="AB29" i="8"/>
  <c r="AB28" i="8"/>
  <c r="AB40" i="8"/>
  <c r="AB31" i="8"/>
  <c r="AB25" i="8"/>
  <c r="AB23" i="8"/>
  <c r="AB27" i="8"/>
  <c r="AB21" i="8"/>
  <c r="AC17" i="8"/>
  <c r="AB32" i="8"/>
  <c r="AB22" i="8"/>
  <c r="AC16" i="8"/>
  <c r="AC66" i="8" s="1"/>
  <c r="AB26" i="8"/>
  <c r="AB66" i="8"/>
  <c r="AB66" i="1"/>
  <c r="B20" i="2"/>
  <c r="AA62" i="8"/>
  <c r="AA67" i="8" s="1"/>
  <c r="AA69" i="8" s="1"/>
  <c r="AA62" i="1"/>
  <c r="AA67" i="1" s="1"/>
  <c r="E19" i="2" s="1"/>
  <c r="AB57" i="1"/>
  <c r="AB47" i="1"/>
  <c r="AB52" i="1"/>
  <c r="C20" i="2"/>
  <c r="AB58" i="1"/>
  <c r="AB60" i="1"/>
  <c r="AB46" i="1"/>
  <c r="AB59" i="1"/>
  <c r="AB55" i="1"/>
  <c r="AB54" i="1"/>
  <c r="AB53" i="1"/>
  <c r="AB50" i="1"/>
  <c r="AB41" i="1"/>
  <c r="AB42" i="1"/>
  <c r="AB39" i="1"/>
  <c r="AB40" i="1"/>
  <c r="AB49" i="1"/>
  <c r="AB48" i="1"/>
  <c r="AB45" i="1"/>
  <c r="AB44" i="1"/>
  <c r="AB37" i="1"/>
  <c r="AB36" i="1"/>
  <c r="AB33" i="1"/>
  <c r="AC17" i="1"/>
  <c r="AB30" i="1"/>
  <c r="AB34" i="1"/>
  <c r="AB31" i="1"/>
  <c r="AB29" i="1"/>
  <c r="AB27" i="1"/>
  <c r="AB26" i="1"/>
  <c r="AB35" i="1"/>
  <c r="AB25" i="1"/>
  <c r="AC16" i="1"/>
  <c r="AB21" i="1"/>
  <c r="AB22" i="1"/>
  <c r="AB23" i="1"/>
  <c r="AB62" i="1" l="1"/>
  <c r="AB67" i="1" s="1"/>
  <c r="E20" i="2" s="1"/>
  <c r="B21" i="2"/>
  <c r="AC66" i="1"/>
  <c r="AC60" i="8"/>
  <c r="AC59" i="8"/>
  <c r="AC58" i="8"/>
  <c r="AC55" i="8"/>
  <c r="AC54" i="8"/>
  <c r="AC57" i="8"/>
  <c r="AC56" i="8"/>
  <c r="AC53" i="8"/>
  <c r="AC48" i="8"/>
  <c r="AC52" i="8"/>
  <c r="AC47" i="8"/>
  <c r="AC42" i="8"/>
  <c r="AC41" i="8"/>
  <c r="AC45" i="8"/>
  <c r="AC39" i="8"/>
  <c r="AC31" i="8"/>
  <c r="AC30" i="8"/>
  <c r="AC33" i="8"/>
  <c r="AC46" i="8"/>
  <c r="AC32" i="8"/>
  <c r="AC49" i="8"/>
  <c r="AC36" i="8"/>
  <c r="AC35" i="8"/>
  <c r="AC29" i="8"/>
  <c r="AC37" i="8"/>
  <c r="AC28" i="8"/>
  <c r="AD16" i="8"/>
  <c r="AD66" i="8" s="1"/>
  <c r="AC34" i="8"/>
  <c r="AC40" i="8"/>
  <c r="AC23" i="8"/>
  <c r="AC22" i="8"/>
  <c r="AC50" i="8"/>
  <c r="AC27" i="8"/>
  <c r="AC24" i="8"/>
  <c r="AC21" i="8"/>
  <c r="AC62" i="8" s="1"/>
  <c r="AD17" i="8"/>
  <c r="AC44" i="8"/>
  <c r="AC26" i="8"/>
  <c r="AC25" i="8"/>
  <c r="AC55" i="1"/>
  <c r="AC54" i="1"/>
  <c r="AC60" i="1"/>
  <c r="AC50" i="1"/>
  <c r="AC42" i="1"/>
  <c r="AC41" i="1"/>
  <c r="C21" i="2"/>
  <c r="AC58" i="1"/>
  <c r="AC48" i="1"/>
  <c r="AC46" i="1"/>
  <c r="AC49" i="1"/>
  <c r="AC45" i="1"/>
  <c r="AC52" i="1"/>
  <c r="AC39" i="1"/>
  <c r="AC40" i="1"/>
  <c r="AC53" i="1"/>
  <c r="AC44" i="1"/>
  <c r="AC37" i="1"/>
  <c r="AC36" i="1"/>
  <c r="AC59" i="1"/>
  <c r="AC35" i="1"/>
  <c r="AC47" i="1"/>
  <c r="AC34" i="1"/>
  <c r="AC31" i="1"/>
  <c r="AC29" i="1"/>
  <c r="AC25" i="1"/>
  <c r="AC23" i="1"/>
  <c r="AD16" i="1"/>
  <c r="AC57" i="1"/>
  <c r="AC27" i="1"/>
  <c r="AC26" i="1"/>
  <c r="AC30" i="1"/>
  <c r="AC22" i="1"/>
  <c r="AC21" i="1"/>
  <c r="AC33" i="1"/>
  <c r="AD17" i="1"/>
  <c r="AB62" i="8"/>
  <c r="AB67" i="8" s="1"/>
  <c r="AB69" i="8" s="1"/>
  <c r="AD60" i="8" l="1"/>
  <c r="AD59" i="8"/>
  <c r="AD58" i="8"/>
  <c r="AD55" i="8"/>
  <c r="AD54" i="8"/>
  <c r="AD57" i="8"/>
  <c r="AD56" i="8"/>
  <c r="AD53" i="8"/>
  <c r="AD52" i="8"/>
  <c r="AD47" i="8"/>
  <c r="AD46" i="8"/>
  <c r="AD50" i="8"/>
  <c r="AD40" i="8"/>
  <c r="AD48" i="8"/>
  <c r="AD45" i="8"/>
  <c r="AD49" i="8"/>
  <c r="AD35" i="8"/>
  <c r="AD32" i="8"/>
  <c r="AD36" i="8"/>
  <c r="AD44" i="8"/>
  <c r="AD42" i="8"/>
  <c r="AD41" i="8"/>
  <c r="AD30" i="8"/>
  <c r="AD29" i="8"/>
  <c r="AD37" i="8"/>
  <c r="AD28" i="8"/>
  <c r="AD34" i="8"/>
  <c r="AE17" i="8"/>
  <c r="AD33" i="8"/>
  <c r="AD31" i="8"/>
  <c r="AD27" i="8"/>
  <c r="AD26" i="8"/>
  <c r="AD39" i="8"/>
  <c r="AD24" i="8"/>
  <c r="AD21" i="8"/>
  <c r="AD22" i="8"/>
  <c r="AE16" i="8"/>
  <c r="AE66" i="8" s="1"/>
  <c r="AD25" i="8"/>
  <c r="AD23" i="8"/>
  <c r="AC67" i="8"/>
  <c r="AC69" i="8" s="1"/>
  <c r="AD55" i="1"/>
  <c r="AD54" i="1"/>
  <c r="C22" i="2"/>
  <c r="AD53" i="1"/>
  <c r="AD60" i="1"/>
  <c r="AD50" i="1"/>
  <c r="AD49" i="1"/>
  <c r="AD59" i="1"/>
  <c r="AD58" i="1"/>
  <c r="AD40" i="1"/>
  <c r="AD48" i="1"/>
  <c r="AD57" i="1"/>
  <c r="AD45" i="1"/>
  <c r="AD52" i="1"/>
  <c r="AD47" i="1"/>
  <c r="AD44" i="1"/>
  <c r="AD41" i="1"/>
  <c r="AD39" i="1"/>
  <c r="AD42" i="1"/>
  <c r="AD37" i="1"/>
  <c r="AD36" i="1"/>
  <c r="AD35" i="1"/>
  <c r="AD34" i="1"/>
  <c r="AD46" i="1"/>
  <c r="AD31" i="1"/>
  <c r="AD29" i="1"/>
  <c r="AD27" i="1"/>
  <c r="AD26" i="1"/>
  <c r="AE17" i="1"/>
  <c r="AD25" i="1"/>
  <c r="AD30" i="1"/>
  <c r="AD23" i="1"/>
  <c r="AD22" i="1"/>
  <c r="AD21" i="1"/>
  <c r="AE16" i="1"/>
  <c r="AD33" i="1"/>
  <c r="B22" i="2"/>
  <c r="AD66" i="1"/>
  <c r="AC62" i="1"/>
  <c r="AC67" i="1" s="1"/>
  <c r="E21" i="2" s="1"/>
  <c r="AE53" i="1" l="1"/>
  <c r="AE52" i="1"/>
  <c r="C23" i="2"/>
  <c r="AE60" i="1"/>
  <c r="AE59" i="1"/>
  <c r="AE58" i="1"/>
  <c r="AE48" i="1"/>
  <c r="AE57" i="1"/>
  <c r="AE46" i="1"/>
  <c r="AE49" i="1"/>
  <c r="AE47" i="1"/>
  <c r="AE44" i="1"/>
  <c r="AE42" i="1"/>
  <c r="AE40" i="1"/>
  <c r="AE37" i="1"/>
  <c r="AE36" i="1"/>
  <c r="AE35" i="1"/>
  <c r="AE50" i="1"/>
  <c r="AE45" i="1"/>
  <c r="AE34" i="1"/>
  <c r="AE33" i="1"/>
  <c r="AE41" i="1"/>
  <c r="AE39" i="1"/>
  <c r="AE55" i="1"/>
  <c r="AE27" i="1"/>
  <c r="AE26" i="1"/>
  <c r="AE29" i="1"/>
  <c r="AE25" i="1"/>
  <c r="AE23" i="1"/>
  <c r="AE22" i="1"/>
  <c r="AE54" i="1"/>
  <c r="AE30" i="1"/>
  <c r="AE21" i="1"/>
  <c r="AF16" i="1"/>
  <c r="AF17" i="1"/>
  <c r="AE31" i="1"/>
  <c r="AE60" i="8"/>
  <c r="AE59" i="8"/>
  <c r="AE58" i="8"/>
  <c r="AE57" i="8"/>
  <c r="AE53" i="8"/>
  <c r="AE52" i="8"/>
  <c r="AE50" i="8"/>
  <c r="AE49" i="8"/>
  <c r="AE55" i="8"/>
  <c r="AE46" i="8"/>
  <c r="AE51" i="8"/>
  <c r="AE45" i="8"/>
  <c r="AE42" i="8"/>
  <c r="AE41" i="8"/>
  <c r="AE44" i="8"/>
  <c r="AE39" i="8"/>
  <c r="AE48" i="8"/>
  <c r="AE35" i="8"/>
  <c r="AE40" i="8"/>
  <c r="AE38" i="8"/>
  <c r="AE37" i="8"/>
  <c r="AE34" i="8"/>
  <c r="AE36" i="8"/>
  <c r="AE54" i="8"/>
  <c r="AE28" i="8"/>
  <c r="AE47" i="8"/>
  <c r="AE23" i="8"/>
  <c r="AE22" i="8"/>
  <c r="AE21" i="8"/>
  <c r="AE33" i="8"/>
  <c r="AE31" i="8"/>
  <c r="AE27" i="8"/>
  <c r="AE26" i="8"/>
  <c r="AE25" i="8"/>
  <c r="AE32" i="8"/>
  <c r="AE30" i="8"/>
  <c r="AE29" i="8"/>
  <c r="AE24" i="8"/>
  <c r="AF17" i="8"/>
  <c r="AF16" i="8"/>
  <c r="AF66" i="8" s="1"/>
  <c r="B23" i="2"/>
  <c r="AE66" i="1"/>
  <c r="AD62" i="8"/>
  <c r="AD67" i="8" s="1"/>
  <c r="AD69" i="8" s="1"/>
  <c r="AD62" i="1"/>
  <c r="AD67" i="1" s="1"/>
  <c r="E22" i="2" s="1"/>
  <c r="AF52" i="1" l="1"/>
  <c r="AF59" i="1"/>
  <c r="AF58" i="1"/>
  <c r="AF57" i="1"/>
  <c r="AF47" i="1"/>
  <c r="C24" i="2"/>
  <c r="AF48" i="1"/>
  <c r="AF45" i="1"/>
  <c r="AF60" i="1"/>
  <c r="AF55" i="1"/>
  <c r="AF54" i="1"/>
  <c r="AF53" i="1"/>
  <c r="AF50" i="1"/>
  <c r="AF42" i="1"/>
  <c r="AF41" i="1"/>
  <c r="AF40" i="1"/>
  <c r="AF37" i="1"/>
  <c r="AF36" i="1"/>
  <c r="AF35" i="1"/>
  <c r="AF44" i="1"/>
  <c r="AF34" i="1"/>
  <c r="AF49" i="1"/>
  <c r="AF33" i="1"/>
  <c r="AF27" i="1"/>
  <c r="AF26" i="1"/>
  <c r="AF25" i="1"/>
  <c r="AF31" i="1"/>
  <c r="AF30" i="1"/>
  <c r="AG16" i="1"/>
  <c r="AG17" i="1"/>
  <c r="AF29" i="1"/>
  <c r="AF46" i="1"/>
  <c r="AF23" i="1"/>
  <c r="AF22" i="1"/>
  <c r="AF21" i="1"/>
  <c r="AF39" i="1"/>
  <c r="AF59" i="8"/>
  <c r="AF57" i="8"/>
  <c r="AF56" i="8"/>
  <c r="AF52" i="8"/>
  <c r="AF60" i="8"/>
  <c r="AF54" i="8"/>
  <c r="AF48" i="8"/>
  <c r="AF51" i="8"/>
  <c r="AF45" i="8"/>
  <c r="AF44" i="8"/>
  <c r="AF47" i="8"/>
  <c r="AF40" i="8"/>
  <c r="AF58" i="8"/>
  <c r="AF53" i="8"/>
  <c r="AF38" i="8"/>
  <c r="AF37" i="8"/>
  <c r="AF36" i="8"/>
  <c r="AF55" i="8"/>
  <c r="AF49" i="8"/>
  <c r="AF46" i="8"/>
  <c r="AF34" i="8"/>
  <c r="AF33" i="8"/>
  <c r="AF42" i="8"/>
  <c r="AF41" i="8"/>
  <c r="AF43" i="8"/>
  <c r="AF39" i="8"/>
  <c r="AF35" i="8"/>
  <c r="AF31" i="8"/>
  <c r="AF27" i="8"/>
  <c r="AF26" i="8"/>
  <c r="AF25" i="8"/>
  <c r="AF32" i="8"/>
  <c r="AF24" i="8"/>
  <c r="AF28" i="8"/>
  <c r="AF21" i="8"/>
  <c r="AG17" i="8"/>
  <c r="AF30" i="8"/>
  <c r="AG16" i="8"/>
  <c r="AF22" i="8"/>
  <c r="AF50" i="8"/>
  <c r="AF29" i="8"/>
  <c r="AF23" i="8"/>
  <c r="AF66" i="1"/>
  <c r="B24" i="2"/>
  <c r="AE62" i="8"/>
  <c r="AE67" i="8" s="1"/>
  <c r="AE69" i="8" s="1"/>
  <c r="AE62" i="1"/>
  <c r="AE67" i="1" s="1"/>
  <c r="E23" i="2" s="1"/>
  <c r="AG60" i="1" l="1"/>
  <c r="AG57" i="1"/>
  <c r="AG55" i="1"/>
  <c r="AG54" i="1"/>
  <c r="AG58" i="1"/>
  <c r="AG46" i="1"/>
  <c r="AG49" i="1"/>
  <c r="AG44" i="1"/>
  <c r="AG53" i="1"/>
  <c r="AG52" i="1"/>
  <c r="AG50" i="1"/>
  <c r="AG42" i="1"/>
  <c r="AG41" i="1"/>
  <c r="AG59" i="1"/>
  <c r="AG40" i="1"/>
  <c r="C25" i="2"/>
  <c r="AG48" i="1"/>
  <c r="AG35" i="1"/>
  <c r="AG34" i="1"/>
  <c r="AG45" i="1"/>
  <c r="AG33" i="1"/>
  <c r="AG37" i="1"/>
  <c r="AG36" i="1"/>
  <c r="AG47" i="1"/>
  <c r="AG25" i="1"/>
  <c r="AG30" i="1"/>
  <c r="AG23" i="1"/>
  <c r="AG22" i="1"/>
  <c r="AG21" i="1"/>
  <c r="AH16" i="1"/>
  <c r="AH17" i="1"/>
  <c r="AG39" i="1"/>
  <c r="AG31" i="1"/>
  <c r="AG29" i="1"/>
  <c r="AG27" i="1"/>
  <c r="AG26" i="1"/>
  <c r="AG60" i="8"/>
  <c r="AG59" i="8"/>
  <c r="AG58" i="8"/>
  <c r="AG47" i="8"/>
  <c r="AG57" i="8"/>
  <c r="AG52" i="8"/>
  <c r="AG44" i="8"/>
  <c r="AG43" i="8"/>
  <c r="AG54" i="8"/>
  <c r="AG39" i="8"/>
  <c r="AG48" i="8"/>
  <c r="AG55" i="8"/>
  <c r="AG51" i="8"/>
  <c r="AG49" i="8"/>
  <c r="AG45" i="8"/>
  <c r="AG46" i="8"/>
  <c r="AG56" i="8"/>
  <c r="AG50" i="8"/>
  <c r="AG42" i="8"/>
  <c r="AG41" i="8"/>
  <c r="AG40" i="8"/>
  <c r="AG38" i="8"/>
  <c r="AG37" i="8"/>
  <c r="AG33" i="8"/>
  <c r="AG32" i="8"/>
  <c r="AG31" i="8"/>
  <c r="AG30" i="8"/>
  <c r="AG35" i="8"/>
  <c r="AG36" i="8"/>
  <c r="AG34" i="8"/>
  <c r="AG25" i="8"/>
  <c r="AG29" i="8"/>
  <c r="AG53" i="8"/>
  <c r="AG27" i="8"/>
  <c r="AH16" i="8"/>
  <c r="AH66" i="8" s="1"/>
  <c r="AG22" i="8"/>
  <c r="AG26" i="8"/>
  <c r="AG28" i="8"/>
  <c r="AG23" i="8"/>
  <c r="AG24" i="8"/>
  <c r="AG21" i="8"/>
  <c r="AH17" i="8"/>
  <c r="AF62" i="8"/>
  <c r="AF67" i="8" s="1"/>
  <c r="AF69" i="8" s="1"/>
  <c r="B25" i="2"/>
  <c r="AG66" i="1"/>
  <c r="AF62" i="1"/>
  <c r="AF67" i="1" s="1"/>
  <c r="E24" i="2" s="1"/>
  <c r="AG66" i="8"/>
  <c r="AH60" i="1" l="1"/>
  <c r="AH50" i="1"/>
  <c r="AH49" i="1"/>
  <c r="C26" i="2"/>
  <c r="AH59" i="1"/>
  <c r="AH58" i="1"/>
  <c r="AH55" i="1"/>
  <c r="AH54" i="1"/>
  <c r="AH53" i="1"/>
  <c r="AH45" i="1"/>
  <c r="AH57" i="1"/>
  <c r="AH47" i="1"/>
  <c r="AH46" i="1"/>
  <c r="AH34" i="1"/>
  <c r="AH44" i="1"/>
  <c r="AH48" i="1"/>
  <c r="AH31" i="1"/>
  <c r="AH30" i="1"/>
  <c r="AH39" i="1"/>
  <c r="AH52" i="1"/>
  <c r="AH42" i="1"/>
  <c r="AH40" i="1"/>
  <c r="AH35" i="1"/>
  <c r="AH36" i="1"/>
  <c r="AI16" i="1"/>
  <c r="AH27" i="1"/>
  <c r="AH23" i="1"/>
  <c r="AH22" i="1"/>
  <c r="AH21" i="1"/>
  <c r="AI17" i="1"/>
  <c r="AH41" i="1"/>
  <c r="AH37" i="1"/>
  <c r="AH29" i="1"/>
  <c r="AH33" i="1"/>
  <c r="AH26" i="1"/>
  <c r="AH25" i="1"/>
  <c r="B26" i="2"/>
  <c r="AH66" i="1"/>
  <c r="AG62" i="1"/>
  <c r="AG67" i="1" s="1"/>
  <c r="E25" i="2" s="1"/>
  <c r="AH60" i="8"/>
  <c r="AH55" i="8"/>
  <c r="AH46" i="8"/>
  <c r="AH53" i="8"/>
  <c r="AH59" i="8"/>
  <c r="AH57" i="8"/>
  <c r="AH52" i="8"/>
  <c r="AH56" i="8"/>
  <c r="AH50" i="8"/>
  <c r="AH42" i="8"/>
  <c r="AH41" i="8"/>
  <c r="AH45" i="8"/>
  <c r="AH47" i="8"/>
  <c r="AH54" i="8"/>
  <c r="AH49" i="8"/>
  <c r="AH44" i="8"/>
  <c r="AH43" i="8"/>
  <c r="AH39" i="8"/>
  <c r="AH35" i="8"/>
  <c r="AH34" i="8"/>
  <c r="AH58" i="8"/>
  <c r="AH37" i="8"/>
  <c r="AH36" i="8"/>
  <c r="AH27" i="8"/>
  <c r="AH26" i="8"/>
  <c r="AH31" i="8"/>
  <c r="AH38" i="8"/>
  <c r="AH33" i="8"/>
  <c r="AH24" i="8"/>
  <c r="AH40" i="8"/>
  <c r="AH32" i="8"/>
  <c r="AH29" i="8"/>
  <c r="AH51" i="8"/>
  <c r="AH30" i="8"/>
  <c r="AH22" i="8"/>
  <c r="AH28" i="8"/>
  <c r="AH23" i="8"/>
  <c r="AH25" i="8"/>
  <c r="AH48" i="8"/>
  <c r="AH21" i="8"/>
  <c r="AI17" i="8"/>
  <c r="AI16" i="8"/>
  <c r="AG62" i="8"/>
  <c r="AG67" i="8" s="1"/>
  <c r="AG69" i="8" s="1"/>
  <c r="AI59" i="1" l="1"/>
  <c r="AI58" i="1"/>
  <c r="AI48" i="1"/>
  <c r="AI57" i="1"/>
  <c r="C27" i="2"/>
  <c r="AI53" i="1"/>
  <c r="AI52" i="1"/>
  <c r="AI44" i="1"/>
  <c r="AI49" i="1"/>
  <c r="AI42" i="1"/>
  <c r="AI55" i="1"/>
  <c r="AI54" i="1"/>
  <c r="AI60" i="1"/>
  <c r="AI33" i="1"/>
  <c r="AI45" i="1"/>
  <c r="AI50" i="1"/>
  <c r="AI31" i="1"/>
  <c r="AI30" i="1"/>
  <c r="AI39" i="1"/>
  <c r="AI23" i="1"/>
  <c r="AI22" i="1"/>
  <c r="AI21" i="1"/>
  <c r="AJ16" i="1"/>
  <c r="AJ17" i="1"/>
  <c r="AI47" i="1"/>
  <c r="AI46" i="1"/>
  <c r="AI41" i="1"/>
  <c r="AI40" i="1"/>
  <c r="AI37" i="1"/>
  <c r="AI35" i="1"/>
  <c r="AI29" i="1"/>
  <c r="AI27" i="1"/>
  <c r="AI26" i="1"/>
  <c r="AI25" i="1"/>
  <c r="AI36" i="1"/>
  <c r="AI34" i="1"/>
  <c r="AH62" i="8"/>
  <c r="AH67" i="8" s="1"/>
  <c r="AH69" i="8" s="1"/>
  <c r="AH62" i="1"/>
  <c r="AH67" i="1" s="1"/>
  <c r="E26" i="2" s="1"/>
  <c r="AI60" i="8"/>
  <c r="AI59" i="8"/>
  <c r="AI58" i="8"/>
  <c r="AI51" i="8"/>
  <c r="AI45" i="8"/>
  <c r="AI53" i="8"/>
  <c r="AI50" i="8"/>
  <c r="AI49" i="8"/>
  <c r="AI48" i="8"/>
  <c r="AI44" i="8"/>
  <c r="AI43" i="8"/>
  <c r="AI56" i="8"/>
  <c r="AI46" i="8"/>
  <c r="AI40" i="8"/>
  <c r="AI54" i="8"/>
  <c r="AI47" i="8"/>
  <c r="AI52" i="8"/>
  <c r="AI36" i="8"/>
  <c r="AI57" i="8"/>
  <c r="AI42" i="8"/>
  <c r="AI41" i="8"/>
  <c r="AI39" i="8"/>
  <c r="AI35" i="8"/>
  <c r="AI34" i="8"/>
  <c r="AI55" i="8"/>
  <c r="AI38" i="8"/>
  <c r="AI37" i="8"/>
  <c r="AI33" i="8"/>
  <c r="AI31" i="8"/>
  <c r="AI25" i="8"/>
  <c r="AI32" i="8"/>
  <c r="AI29" i="8"/>
  <c r="AI30" i="8"/>
  <c r="AI28" i="8"/>
  <c r="AI27" i="8"/>
  <c r="AI26" i="8"/>
  <c r="AI23" i="8"/>
  <c r="AI21" i="8"/>
  <c r="AJ17" i="8"/>
  <c r="AI24" i="8"/>
  <c r="AJ16" i="8"/>
  <c r="AJ66" i="8" s="1"/>
  <c r="AI22" i="8"/>
  <c r="AI66" i="8"/>
  <c r="B27" i="2"/>
  <c r="AI66" i="1"/>
  <c r="AJ57" i="1" l="1"/>
  <c r="AJ47" i="1"/>
  <c r="AJ52" i="1"/>
  <c r="C28" i="2"/>
  <c r="AJ49" i="1"/>
  <c r="AJ60" i="1"/>
  <c r="AJ50" i="1"/>
  <c r="AJ59" i="1"/>
  <c r="AJ48" i="1"/>
  <c r="AJ46" i="1"/>
  <c r="AJ58" i="1"/>
  <c r="AJ45" i="1"/>
  <c r="AJ44" i="1"/>
  <c r="AJ53" i="1"/>
  <c r="AJ39" i="1"/>
  <c r="AJ54" i="1"/>
  <c r="AJ41" i="1"/>
  <c r="AJ37" i="1"/>
  <c r="AJ36" i="1"/>
  <c r="AJ55" i="1"/>
  <c r="AJ30" i="1"/>
  <c r="AK17" i="1"/>
  <c r="AJ40" i="1"/>
  <c r="AJ42" i="1"/>
  <c r="AJ35" i="1"/>
  <c r="AJ29" i="1"/>
  <c r="AJ27" i="1"/>
  <c r="AJ26" i="1"/>
  <c r="AJ34" i="1"/>
  <c r="AJ33" i="1"/>
  <c r="AJ31" i="1"/>
  <c r="AJ25" i="1"/>
  <c r="AK16" i="1"/>
  <c r="AJ21" i="1"/>
  <c r="AJ22" i="1"/>
  <c r="AJ23" i="1"/>
  <c r="AJ66" i="1"/>
  <c r="B28" i="2"/>
  <c r="AI62" i="1"/>
  <c r="AI67" i="1" s="1"/>
  <c r="E27" i="2" s="1"/>
  <c r="AI62" i="8"/>
  <c r="AI67" i="8" s="1"/>
  <c r="AI69" i="8" s="1"/>
  <c r="AJ60" i="8"/>
  <c r="AJ59" i="8"/>
  <c r="AJ58" i="8"/>
  <c r="AJ55" i="8"/>
  <c r="AJ54" i="8"/>
  <c r="AJ57" i="8"/>
  <c r="AJ52" i="8"/>
  <c r="AJ44" i="8"/>
  <c r="AJ50" i="8"/>
  <c r="AJ49" i="8"/>
  <c r="AJ56" i="8"/>
  <c r="AJ48" i="8"/>
  <c r="AJ53" i="8"/>
  <c r="AJ51" i="8"/>
  <c r="AJ45" i="8"/>
  <c r="AJ47" i="8"/>
  <c r="AJ39" i="8"/>
  <c r="AJ36" i="8"/>
  <c r="AJ46" i="8"/>
  <c r="AJ43" i="8"/>
  <c r="AJ34" i="8"/>
  <c r="AJ38" i="8"/>
  <c r="AJ37" i="8"/>
  <c r="AJ33" i="8"/>
  <c r="AJ40" i="8"/>
  <c r="AJ24" i="8"/>
  <c r="AJ41" i="8"/>
  <c r="AJ32" i="8"/>
  <c r="AJ29" i="8"/>
  <c r="AJ30" i="8"/>
  <c r="AJ28" i="8"/>
  <c r="AJ42" i="8"/>
  <c r="AJ35" i="8"/>
  <c r="AJ31" i="8"/>
  <c r="AJ25" i="8"/>
  <c r="AJ26" i="8"/>
  <c r="AJ23" i="8"/>
  <c r="AJ21" i="8"/>
  <c r="AK17" i="8"/>
  <c r="AK16" i="8"/>
  <c r="AK66" i="8" s="1"/>
  <c r="AJ22" i="8"/>
  <c r="AJ27" i="8"/>
  <c r="AK55" i="1" l="1"/>
  <c r="AK54" i="1"/>
  <c r="AK60" i="1"/>
  <c r="AK50" i="1"/>
  <c r="AK49" i="1"/>
  <c r="AK57" i="1"/>
  <c r="AK47" i="1"/>
  <c r="AK42" i="1"/>
  <c r="AK41" i="1"/>
  <c r="AK53" i="1"/>
  <c r="AK52" i="1"/>
  <c r="AK48" i="1"/>
  <c r="AK46" i="1"/>
  <c r="C29" i="2"/>
  <c r="AK45" i="1"/>
  <c r="AK58" i="1"/>
  <c r="AK39" i="1"/>
  <c r="AK59" i="1"/>
  <c r="AK37" i="1"/>
  <c r="AK36" i="1"/>
  <c r="AK40" i="1"/>
  <c r="AK35" i="1"/>
  <c r="AK44" i="1"/>
  <c r="AK21" i="1"/>
  <c r="AK29" i="1"/>
  <c r="AL16" i="1"/>
  <c r="AK30" i="1"/>
  <c r="AK25" i="1"/>
  <c r="AK22" i="1"/>
  <c r="AK33" i="1"/>
  <c r="AK31" i="1"/>
  <c r="AK27" i="1"/>
  <c r="AK26" i="1"/>
  <c r="AK34" i="1"/>
  <c r="AK23" i="1"/>
  <c r="AL17" i="1"/>
  <c r="AK60" i="8"/>
  <c r="AK59" i="8"/>
  <c r="AK58" i="8"/>
  <c r="AK55" i="8"/>
  <c r="AK54" i="8"/>
  <c r="AK57" i="8"/>
  <c r="AK53" i="8"/>
  <c r="AK43" i="8"/>
  <c r="AK56" i="8"/>
  <c r="AK48" i="8"/>
  <c r="AK47" i="8"/>
  <c r="AK52" i="8"/>
  <c r="AK49" i="8"/>
  <c r="AK46" i="8"/>
  <c r="AK42" i="8"/>
  <c r="AK41" i="8"/>
  <c r="AK50" i="8"/>
  <c r="AK38" i="8"/>
  <c r="AK51" i="8"/>
  <c r="AK31" i="8"/>
  <c r="AK30" i="8"/>
  <c r="AK44" i="8"/>
  <c r="AK37" i="8"/>
  <c r="AK33" i="8"/>
  <c r="AK40" i="8"/>
  <c r="AK32" i="8"/>
  <c r="AK34" i="8"/>
  <c r="AK45" i="8"/>
  <c r="AK29" i="8"/>
  <c r="AK28" i="8"/>
  <c r="AL16" i="8"/>
  <c r="AK39" i="8"/>
  <c r="AK23" i="8"/>
  <c r="AK22" i="8"/>
  <c r="AK36" i="8"/>
  <c r="AK26" i="8"/>
  <c r="AK35" i="8"/>
  <c r="AK21" i="8"/>
  <c r="AL17" i="8"/>
  <c r="AK25" i="8"/>
  <c r="AK24" i="8"/>
  <c r="AK27" i="8"/>
  <c r="AJ62" i="1"/>
  <c r="AJ67" i="1" s="1"/>
  <c r="E28" i="2" s="1"/>
  <c r="AJ62" i="8"/>
  <c r="AJ67" i="8" s="1"/>
  <c r="AJ69" i="8" s="1"/>
  <c r="B29" i="2"/>
  <c r="AK66" i="1"/>
  <c r="AK62" i="1" l="1"/>
  <c r="AK67" i="1" s="1"/>
  <c r="E29" i="2" s="1"/>
  <c r="AL55" i="1"/>
  <c r="AL54" i="1"/>
  <c r="C30" i="2"/>
  <c r="AL53" i="1"/>
  <c r="AL60" i="1"/>
  <c r="AL50" i="1"/>
  <c r="AL49" i="1"/>
  <c r="AL59" i="1"/>
  <c r="AL58" i="1"/>
  <c r="AL40" i="1"/>
  <c r="AL52" i="1"/>
  <c r="AL45" i="1"/>
  <c r="AL44" i="1"/>
  <c r="AL57" i="1"/>
  <c r="AL47" i="1"/>
  <c r="AL39" i="1"/>
  <c r="AL48" i="1"/>
  <c r="AL37" i="1"/>
  <c r="AL36" i="1"/>
  <c r="AL41" i="1"/>
  <c r="AL35" i="1"/>
  <c r="AL46" i="1"/>
  <c r="AL34" i="1"/>
  <c r="AL29" i="1"/>
  <c r="AL42" i="1"/>
  <c r="AL33" i="1"/>
  <c r="AL31" i="1"/>
  <c r="AL27" i="1"/>
  <c r="AL26" i="1"/>
  <c r="AL30" i="1"/>
  <c r="AL25" i="1"/>
  <c r="AL23" i="1"/>
  <c r="AL22" i="1"/>
  <c r="AL21" i="1"/>
  <c r="AM16" i="1"/>
  <c r="AM17" i="1"/>
  <c r="AL60" i="8"/>
  <c r="AL59" i="8"/>
  <c r="AL58" i="8"/>
  <c r="AL55" i="8"/>
  <c r="AL54" i="8"/>
  <c r="AL57" i="8"/>
  <c r="AL53" i="8"/>
  <c r="AL56" i="8"/>
  <c r="AL52" i="8"/>
  <c r="AL47" i="8"/>
  <c r="AL46" i="8"/>
  <c r="AL51" i="8"/>
  <c r="AL45" i="8"/>
  <c r="AL43" i="8"/>
  <c r="AL40" i="8"/>
  <c r="AL44" i="8"/>
  <c r="AL50" i="8"/>
  <c r="AL35" i="8"/>
  <c r="AL29" i="8"/>
  <c r="AL49" i="8"/>
  <c r="AL38" i="8"/>
  <c r="AL32" i="8"/>
  <c r="AL48" i="8"/>
  <c r="AL36" i="8"/>
  <c r="AL41" i="8"/>
  <c r="AL33" i="8"/>
  <c r="AL28" i="8"/>
  <c r="AL30" i="8"/>
  <c r="AM17" i="8"/>
  <c r="AL39" i="8"/>
  <c r="AL27" i="8"/>
  <c r="AL26" i="8"/>
  <c r="AL37" i="8"/>
  <c r="AL34" i="8"/>
  <c r="AL23" i="8"/>
  <c r="AL21" i="8"/>
  <c r="AL25" i="8"/>
  <c r="AL31" i="8"/>
  <c r="AL24" i="8"/>
  <c r="AM16" i="8"/>
  <c r="AM66" i="8" s="1"/>
  <c r="AL22" i="8"/>
  <c r="AL42" i="8"/>
  <c r="AL66" i="8"/>
  <c r="AK62" i="8"/>
  <c r="AK67" i="8" s="1"/>
  <c r="AK69" i="8" s="1"/>
  <c r="B30" i="2"/>
  <c r="AL66" i="1"/>
  <c r="AM53" i="1" l="1"/>
  <c r="AM52" i="1"/>
  <c r="C31" i="2"/>
  <c r="AM60" i="1"/>
  <c r="AM59" i="1"/>
  <c r="AM58" i="1"/>
  <c r="AM48" i="1"/>
  <c r="AM57" i="1"/>
  <c r="AM50" i="1"/>
  <c r="AM55" i="1"/>
  <c r="AM54" i="1"/>
  <c r="AM46" i="1"/>
  <c r="AM44" i="1"/>
  <c r="AM49" i="1"/>
  <c r="AM37" i="1"/>
  <c r="AM36" i="1"/>
  <c r="AM41" i="1"/>
  <c r="AM35" i="1"/>
  <c r="AM40" i="1"/>
  <c r="AM34" i="1"/>
  <c r="AM47" i="1"/>
  <c r="AM42" i="1"/>
  <c r="AM33" i="1"/>
  <c r="AM45" i="1"/>
  <c r="AM39" i="1"/>
  <c r="AN16" i="1"/>
  <c r="AM29" i="1"/>
  <c r="AM31" i="1"/>
  <c r="AM27" i="1"/>
  <c r="AM26" i="1"/>
  <c r="AM25" i="1"/>
  <c r="AM23" i="1"/>
  <c r="AM21" i="1"/>
  <c r="AM22" i="1"/>
  <c r="AM30" i="1"/>
  <c r="AN17" i="1"/>
  <c r="B31" i="2"/>
  <c r="AM66" i="1"/>
  <c r="AL62" i="1"/>
  <c r="AL67" i="1" s="1"/>
  <c r="E30" i="2" s="1"/>
  <c r="AM60" i="8"/>
  <c r="AM59" i="8"/>
  <c r="AM58" i="8"/>
  <c r="AM57" i="8"/>
  <c r="AM53" i="8"/>
  <c r="AM56" i="8"/>
  <c r="AM52" i="8"/>
  <c r="AM50" i="8"/>
  <c r="AM49" i="8"/>
  <c r="AM46" i="8"/>
  <c r="AM54" i="8"/>
  <c r="AM51" i="8"/>
  <c r="AM45" i="8"/>
  <c r="AM42" i="8"/>
  <c r="AM41" i="8"/>
  <c r="AM55" i="8"/>
  <c r="AM39" i="8"/>
  <c r="AM47" i="8"/>
  <c r="AM44" i="8"/>
  <c r="AM48" i="8"/>
  <c r="AM35" i="8"/>
  <c r="AM34" i="8"/>
  <c r="AM40" i="8"/>
  <c r="AM36" i="8"/>
  <c r="AM33" i="8"/>
  <c r="AM32" i="8"/>
  <c r="AM29" i="8"/>
  <c r="AM28" i="8"/>
  <c r="AM38" i="8"/>
  <c r="AM30" i="8"/>
  <c r="AM43" i="8"/>
  <c r="AM23" i="8"/>
  <c r="AM22" i="8"/>
  <c r="AM21" i="8"/>
  <c r="AM27" i="8"/>
  <c r="AM26" i="8"/>
  <c r="AM25" i="8"/>
  <c r="AM31" i="8"/>
  <c r="AM37" i="8"/>
  <c r="AN17" i="8"/>
  <c r="AM24" i="8"/>
  <c r="AN16" i="8"/>
  <c r="AL62" i="8"/>
  <c r="AL67" i="8" s="1"/>
  <c r="AL69" i="8" s="1"/>
  <c r="AN52" i="1" l="1"/>
  <c r="AN59" i="1"/>
  <c r="AN58" i="1"/>
  <c r="AN57" i="1"/>
  <c r="AN47" i="1"/>
  <c r="C32" i="2"/>
  <c r="AN50" i="1"/>
  <c r="AN60" i="1"/>
  <c r="AN55" i="1"/>
  <c r="AN54" i="1"/>
  <c r="AN53" i="1"/>
  <c r="AN48" i="1"/>
  <c r="AN45" i="1"/>
  <c r="AN42" i="1"/>
  <c r="AN41" i="1"/>
  <c r="AN37" i="1"/>
  <c r="AN36" i="1"/>
  <c r="AN35" i="1"/>
  <c r="AN49" i="1"/>
  <c r="AN40" i="1"/>
  <c r="AN34" i="1"/>
  <c r="AN46" i="1"/>
  <c r="AN33" i="1"/>
  <c r="AN31" i="1"/>
  <c r="AN27" i="1"/>
  <c r="AN26" i="1"/>
  <c r="AN29" i="1"/>
  <c r="AN25" i="1"/>
  <c r="AN39" i="1"/>
  <c r="AO16" i="1"/>
  <c r="AN44" i="1"/>
  <c r="AN23" i="1"/>
  <c r="AN22" i="1"/>
  <c r="AN21" i="1"/>
  <c r="AO17" i="1"/>
  <c r="AN30" i="1"/>
  <c r="AN66" i="1"/>
  <c r="B32" i="2"/>
  <c r="AN59" i="8"/>
  <c r="AN57" i="8"/>
  <c r="AN56" i="8"/>
  <c r="AN52" i="8"/>
  <c r="AN48" i="8"/>
  <c r="AN54" i="8"/>
  <c r="AN51" i="8"/>
  <c r="AN45" i="8"/>
  <c r="AN58" i="8"/>
  <c r="AN44" i="8"/>
  <c r="AN49" i="8"/>
  <c r="AN40" i="8"/>
  <c r="AN50" i="8"/>
  <c r="AN38" i="8"/>
  <c r="AN37" i="8"/>
  <c r="AN36" i="8"/>
  <c r="AN43" i="8"/>
  <c r="AN47" i="8"/>
  <c r="AN34" i="8"/>
  <c r="AN53" i="8"/>
  <c r="AN42" i="8"/>
  <c r="AN41" i="8"/>
  <c r="AN39" i="8"/>
  <c r="AN33" i="8"/>
  <c r="AN55" i="8"/>
  <c r="AN30" i="8"/>
  <c r="AN27" i="8"/>
  <c r="AN26" i="8"/>
  <c r="AN25" i="8"/>
  <c r="AN31" i="8"/>
  <c r="AN24" i="8"/>
  <c r="AN46" i="8"/>
  <c r="AN35" i="8"/>
  <c r="AN60" i="8"/>
  <c r="AN32" i="8"/>
  <c r="AN29" i="8"/>
  <c r="AN28" i="8"/>
  <c r="AN23" i="8"/>
  <c r="AN21" i="8"/>
  <c r="AO17" i="8"/>
  <c r="AO16" i="8"/>
  <c r="AO66" i="8" s="1"/>
  <c r="AN22" i="8"/>
  <c r="AN66" i="8"/>
  <c r="AM62" i="8"/>
  <c r="AM67" i="8" s="1"/>
  <c r="AM69" i="8" s="1"/>
  <c r="AM62" i="1"/>
  <c r="AM67" i="1" s="1"/>
  <c r="E31" i="2" s="1"/>
  <c r="B33" i="2" l="1"/>
  <c r="AO66" i="1"/>
  <c r="AN62" i="8"/>
  <c r="AN67" i="8" s="1"/>
  <c r="AN69" i="8" s="1"/>
  <c r="AO60" i="1"/>
  <c r="AO57" i="1"/>
  <c r="AO55" i="1"/>
  <c r="AO54" i="1"/>
  <c r="AO53" i="1"/>
  <c r="AO52" i="1"/>
  <c r="AO46" i="1"/>
  <c r="AO48" i="1"/>
  <c r="AO59" i="1"/>
  <c r="AO44" i="1"/>
  <c r="C33" i="2"/>
  <c r="AO42" i="1"/>
  <c r="AO41" i="1"/>
  <c r="AO58" i="1"/>
  <c r="AO49" i="1"/>
  <c r="AO47" i="1"/>
  <c r="AO40" i="1"/>
  <c r="AO50" i="1"/>
  <c r="AO35" i="1"/>
  <c r="AO34" i="1"/>
  <c r="AO33" i="1"/>
  <c r="AO37" i="1"/>
  <c r="AO36" i="1"/>
  <c r="AO25" i="1"/>
  <c r="AO39" i="1"/>
  <c r="AO31" i="1"/>
  <c r="AO23" i="1"/>
  <c r="AO22" i="1"/>
  <c r="AO21" i="1"/>
  <c r="AP16" i="1"/>
  <c r="AP17" i="1"/>
  <c r="AO30" i="1"/>
  <c r="AO29" i="1"/>
  <c r="AO45" i="1"/>
  <c r="AO26" i="1"/>
  <c r="AO27" i="1"/>
  <c r="AN62" i="1"/>
  <c r="AN67" i="1" s="1"/>
  <c r="E32" i="2" s="1"/>
  <c r="AO60" i="8"/>
  <c r="AO53" i="8"/>
  <c r="AO47" i="8"/>
  <c r="AO58" i="8"/>
  <c r="AO44" i="8"/>
  <c r="AO59" i="8"/>
  <c r="AO55" i="8"/>
  <c r="AO43" i="8"/>
  <c r="AO46" i="8"/>
  <c r="AO39" i="8"/>
  <c r="AO57" i="8"/>
  <c r="AO35" i="8"/>
  <c r="AO54" i="8"/>
  <c r="AO48" i="8"/>
  <c r="AO42" i="8"/>
  <c r="AO41" i="8"/>
  <c r="AO52" i="8"/>
  <c r="AO51" i="8"/>
  <c r="AO50" i="8"/>
  <c r="AO33" i="8"/>
  <c r="AO56" i="8"/>
  <c r="AO37" i="8"/>
  <c r="AO32" i="8"/>
  <c r="AO36" i="8"/>
  <c r="AO31" i="8"/>
  <c r="AO30" i="8"/>
  <c r="AO45" i="8"/>
  <c r="AO38" i="8"/>
  <c r="AO40" i="8"/>
  <c r="AO25" i="8"/>
  <c r="AO49" i="8"/>
  <c r="AO26" i="8"/>
  <c r="AO21" i="8"/>
  <c r="AP17" i="8"/>
  <c r="AP16" i="8"/>
  <c r="AP66" i="8" s="1"/>
  <c r="AO34" i="8"/>
  <c r="AO24" i="8"/>
  <c r="AO28" i="8"/>
  <c r="AO22" i="8"/>
  <c r="AO29" i="8"/>
  <c r="AO27" i="8"/>
  <c r="AO23" i="8"/>
  <c r="AO62" i="1" l="1"/>
  <c r="AO67" i="1" s="1"/>
  <c r="E33" i="2" s="1"/>
  <c r="AP60" i="8"/>
  <c r="AP46" i="8"/>
  <c r="AP58" i="8"/>
  <c r="AP59" i="8"/>
  <c r="AP55" i="8"/>
  <c r="AP52" i="8"/>
  <c r="AP50" i="8"/>
  <c r="AP56" i="8"/>
  <c r="AP47" i="8"/>
  <c r="AP54" i="8"/>
  <c r="AP48" i="8"/>
  <c r="AP43" i="8"/>
  <c r="AP42" i="8"/>
  <c r="AP41" i="8"/>
  <c r="AP53" i="8"/>
  <c r="AP51" i="8"/>
  <c r="AP49" i="8"/>
  <c r="AP45" i="8"/>
  <c r="AP39" i="8"/>
  <c r="AP37" i="8"/>
  <c r="AP38" i="8"/>
  <c r="AP35" i="8"/>
  <c r="AP34" i="8"/>
  <c r="AP27" i="8"/>
  <c r="AP26" i="8"/>
  <c r="AP57" i="8"/>
  <c r="AP40" i="8"/>
  <c r="AP24" i="8"/>
  <c r="AP31" i="8"/>
  <c r="AP44" i="8"/>
  <c r="AP29" i="8"/>
  <c r="AP33" i="8"/>
  <c r="AP30" i="8"/>
  <c r="AQ16" i="8"/>
  <c r="AP36" i="8"/>
  <c r="AP28" i="8"/>
  <c r="AP25" i="8"/>
  <c r="AP22" i="8"/>
  <c r="AP32" i="8"/>
  <c r="AP23" i="8"/>
  <c r="AP21" i="8"/>
  <c r="AQ17" i="8"/>
  <c r="AP60" i="1"/>
  <c r="AP50" i="1"/>
  <c r="AP49" i="1"/>
  <c r="C34" i="2"/>
  <c r="AP59" i="1"/>
  <c r="AP58" i="1"/>
  <c r="AP55" i="1"/>
  <c r="AP54" i="1"/>
  <c r="AP53" i="1"/>
  <c r="AP48" i="1"/>
  <c r="AP45" i="1"/>
  <c r="AP47" i="1"/>
  <c r="AP52" i="1"/>
  <c r="AP46" i="1"/>
  <c r="AP34" i="1"/>
  <c r="AP41" i="1"/>
  <c r="AP40" i="1"/>
  <c r="AP42" i="1"/>
  <c r="AP31" i="1"/>
  <c r="AP30" i="1"/>
  <c r="AP57" i="1"/>
  <c r="AP39" i="1"/>
  <c r="AP35" i="1"/>
  <c r="AP21" i="1"/>
  <c r="AP37" i="1"/>
  <c r="AP33" i="1"/>
  <c r="AP23" i="1"/>
  <c r="AP22" i="1"/>
  <c r="AQ16" i="1"/>
  <c r="AP27" i="1"/>
  <c r="AP44" i="1"/>
  <c r="AQ17" i="1"/>
  <c r="AP26" i="1"/>
  <c r="AP29" i="1"/>
  <c r="AP36" i="1"/>
  <c r="AP25" i="1"/>
  <c r="AO62" i="8"/>
  <c r="AO67" i="8" s="1"/>
  <c r="AO69" i="8" s="1"/>
  <c r="B34" i="2"/>
  <c r="AP66" i="1"/>
  <c r="B35" i="2" l="1"/>
  <c r="AQ66" i="1"/>
  <c r="AQ59" i="1"/>
  <c r="AQ58" i="1"/>
  <c r="AQ48" i="1"/>
  <c r="AQ57" i="1"/>
  <c r="C35" i="2"/>
  <c r="AQ53" i="1"/>
  <c r="AQ52" i="1"/>
  <c r="AQ60" i="1"/>
  <c r="AQ55" i="1"/>
  <c r="AQ54" i="1"/>
  <c r="AQ44" i="1"/>
  <c r="AQ42" i="1"/>
  <c r="AQ49" i="1"/>
  <c r="AQ41" i="1"/>
  <c r="AQ40" i="1"/>
  <c r="AQ33" i="1"/>
  <c r="AQ50" i="1"/>
  <c r="AQ46" i="1"/>
  <c r="AQ31" i="1"/>
  <c r="AQ30" i="1"/>
  <c r="AQ47" i="1"/>
  <c r="AQ39" i="1"/>
  <c r="AQ34" i="1"/>
  <c r="AQ37" i="1"/>
  <c r="AQ23" i="1"/>
  <c r="AQ22" i="1"/>
  <c r="AQ21" i="1"/>
  <c r="AR16" i="1"/>
  <c r="AR17" i="1"/>
  <c r="AQ35" i="1"/>
  <c r="AQ25" i="1"/>
  <c r="AQ29" i="1"/>
  <c r="AQ45" i="1"/>
  <c r="AQ36" i="1"/>
  <c r="AQ27" i="1"/>
  <c r="AQ26" i="1"/>
  <c r="AP62" i="1"/>
  <c r="AP67" i="1" s="1"/>
  <c r="E34" i="2" s="1"/>
  <c r="AQ60" i="8"/>
  <c r="AQ59" i="8"/>
  <c r="AQ58" i="8"/>
  <c r="AQ56" i="8"/>
  <c r="AQ54" i="8"/>
  <c r="AQ51" i="8"/>
  <c r="AQ45" i="8"/>
  <c r="AQ52" i="8"/>
  <c r="AQ50" i="8"/>
  <c r="AQ49" i="8"/>
  <c r="AQ57" i="8"/>
  <c r="AQ55" i="8"/>
  <c r="AQ53" i="8"/>
  <c r="AQ40" i="8"/>
  <c r="AQ42" i="8"/>
  <c r="AQ41" i="8"/>
  <c r="AQ38" i="8"/>
  <c r="AQ48" i="8"/>
  <c r="AQ35" i="8"/>
  <c r="AQ34" i="8"/>
  <c r="AQ33" i="8"/>
  <c r="AQ25" i="8"/>
  <c r="AQ47" i="8"/>
  <c r="AQ43" i="8"/>
  <c r="AQ39" i="8"/>
  <c r="AQ31" i="8"/>
  <c r="AQ46" i="8"/>
  <c r="AQ44" i="8"/>
  <c r="AQ29" i="8"/>
  <c r="AQ28" i="8"/>
  <c r="AQ37" i="8"/>
  <c r="AQ36" i="8"/>
  <c r="AQ32" i="8"/>
  <c r="AQ27" i="8"/>
  <c r="AQ26" i="8"/>
  <c r="AQ30" i="8"/>
  <c r="AQ24" i="8"/>
  <c r="AQ22" i="8"/>
  <c r="AQ23" i="8"/>
  <c r="AQ21" i="8"/>
  <c r="AR17" i="8"/>
  <c r="AR16" i="8"/>
  <c r="AQ66" i="8"/>
  <c r="AP62" i="8"/>
  <c r="AP67" i="8" s="1"/>
  <c r="AP69" i="8" s="1"/>
  <c r="AR60" i="8" l="1"/>
  <c r="AR59" i="8"/>
  <c r="AR58" i="8"/>
  <c r="AR55" i="8"/>
  <c r="AR54" i="8"/>
  <c r="AR44" i="8"/>
  <c r="AR52" i="8"/>
  <c r="AR50" i="8"/>
  <c r="AR49" i="8"/>
  <c r="AR57" i="8"/>
  <c r="AR48" i="8"/>
  <c r="AR47" i="8"/>
  <c r="AR53" i="8"/>
  <c r="AR51" i="8"/>
  <c r="AR45" i="8"/>
  <c r="AR39" i="8"/>
  <c r="AR46" i="8"/>
  <c r="AR56" i="8"/>
  <c r="AR43" i="8"/>
  <c r="AR40" i="8"/>
  <c r="AR36" i="8"/>
  <c r="AR35" i="8"/>
  <c r="AR34" i="8"/>
  <c r="AR33" i="8"/>
  <c r="AR37" i="8"/>
  <c r="AR24" i="8"/>
  <c r="AR31" i="8"/>
  <c r="AR29" i="8"/>
  <c r="AR28" i="8"/>
  <c r="AR32" i="8"/>
  <c r="AR42" i="8"/>
  <c r="AR30" i="8"/>
  <c r="AR41" i="8"/>
  <c r="AR38" i="8"/>
  <c r="AR25" i="8"/>
  <c r="AR22" i="8"/>
  <c r="AR27" i="8"/>
  <c r="AR23" i="8"/>
  <c r="AR21" i="8"/>
  <c r="AR62" i="8" s="1"/>
  <c r="AR67" i="8" s="1"/>
  <c r="AR69" i="8" s="1"/>
  <c r="AS17" i="8"/>
  <c r="AS16" i="8"/>
  <c r="AR26" i="8"/>
  <c r="AR66" i="1"/>
  <c r="B36" i="2"/>
  <c r="AQ62" i="1"/>
  <c r="AQ67" i="1" s="1"/>
  <c r="E35" i="2" s="1"/>
  <c r="AR57" i="1"/>
  <c r="AR47" i="1"/>
  <c r="AR52" i="1"/>
  <c r="C36" i="2"/>
  <c r="AR59" i="1"/>
  <c r="AR58" i="1"/>
  <c r="AR50" i="1"/>
  <c r="AR46" i="1"/>
  <c r="AR60" i="1"/>
  <c r="AR55" i="1"/>
  <c r="AR54" i="1"/>
  <c r="AR53" i="1"/>
  <c r="AR48" i="1"/>
  <c r="AR49" i="1"/>
  <c r="AR42" i="1"/>
  <c r="AR39" i="1"/>
  <c r="AR45" i="1"/>
  <c r="AR44" i="1"/>
  <c r="AR37" i="1"/>
  <c r="AR36" i="1"/>
  <c r="AR41" i="1"/>
  <c r="AR40" i="1"/>
  <c r="AR35" i="1"/>
  <c r="AR33" i="1"/>
  <c r="AS17" i="1"/>
  <c r="AR31" i="1"/>
  <c r="AR30" i="1"/>
  <c r="AR29" i="1"/>
  <c r="AR27" i="1"/>
  <c r="AR26" i="1"/>
  <c r="AR34" i="1"/>
  <c r="AR25" i="1"/>
  <c r="AS16" i="1"/>
  <c r="AR21" i="1"/>
  <c r="AR22" i="1"/>
  <c r="AR23" i="1"/>
  <c r="AQ62" i="8"/>
  <c r="AQ67" i="8" s="1"/>
  <c r="AQ69" i="8" s="1"/>
  <c r="AR66" i="8"/>
  <c r="AS60" i="8" l="1"/>
  <c r="AS59" i="8"/>
  <c r="AS58" i="8"/>
  <c r="AS55" i="8"/>
  <c r="AS54" i="8"/>
  <c r="AS57" i="8"/>
  <c r="AS53" i="8"/>
  <c r="AS43" i="8"/>
  <c r="AS48" i="8"/>
  <c r="AS47" i="8"/>
  <c r="AS56" i="8"/>
  <c r="AS44" i="8"/>
  <c r="AS42" i="8"/>
  <c r="AS41" i="8"/>
  <c r="AS51" i="8"/>
  <c r="AS45" i="8"/>
  <c r="AS49" i="8"/>
  <c r="AS46" i="8"/>
  <c r="AS38" i="8"/>
  <c r="AS37" i="8"/>
  <c r="AS40" i="8"/>
  <c r="AS36" i="8"/>
  <c r="AS31" i="8"/>
  <c r="AS30" i="8"/>
  <c r="AS33" i="8"/>
  <c r="AS32" i="8"/>
  <c r="AS39" i="8"/>
  <c r="AS52" i="8"/>
  <c r="AS29" i="8"/>
  <c r="AS28" i="8"/>
  <c r="AT16" i="8"/>
  <c r="AT66" i="8" s="1"/>
  <c r="AS35" i="8"/>
  <c r="AS23" i="8"/>
  <c r="AS22" i="8"/>
  <c r="AS50" i="8"/>
  <c r="AS34" i="8"/>
  <c r="AS24" i="8"/>
  <c r="AS25" i="8"/>
  <c r="AS27" i="8"/>
  <c r="AS21" i="8"/>
  <c r="AT17" i="8"/>
  <c r="AS26" i="8"/>
  <c r="AR62" i="1"/>
  <c r="AR67" i="1" s="1"/>
  <c r="E36" i="2" s="1"/>
  <c r="B37" i="2"/>
  <c r="AS66" i="1"/>
  <c r="AS55" i="1"/>
  <c r="AS54" i="1"/>
  <c r="AS60" i="1"/>
  <c r="AS50" i="1"/>
  <c r="AS49" i="1"/>
  <c r="AS59" i="1"/>
  <c r="AS42" i="1"/>
  <c r="AS41" i="1"/>
  <c r="C37" i="2"/>
  <c r="AS47" i="1"/>
  <c r="AS46" i="1"/>
  <c r="AS57" i="1"/>
  <c r="AS45" i="1"/>
  <c r="AS58" i="1"/>
  <c r="AS53" i="1"/>
  <c r="AS48" i="1"/>
  <c r="AS39" i="1"/>
  <c r="AS44" i="1"/>
  <c r="AS37" i="1"/>
  <c r="AS36" i="1"/>
  <c r="AS35" i="1"/>
  <c r="AS40" i="1"/>
  <c r="AS23" i="1"/>
  <c r="AS22" i="1"/>
  <c r="AS30" i="1"/>
  <c r="AS29" i="1"/>
  <c r="AS25" i="1"/>
  <c r="AS21" i="1"/>
  <c r="AS52" i="1"/>
  <c r="AS34" i="1"/>
  <c r="AS27" i="1"/>
  <c r="AS26" i="1"/>
  <c r="AS33" i="1"/>
  <c r="AS31" i="1"/>
  <c r="AT16" i="1"/>
  <c r="AT17" i="1"/>
  <c r="AS66" i="8"/>
  <c r="AS62" i="8" l="1"/>
  <c r="AS67" i="8" s="1"/>
  <c r="AS69" i="8" s="1"/>
  <c r="B38" i="2"/>
  <c r="AT66" i="1"/>
  <c r="AT55" i="1"/>
  <c r="AT54" i="1"/>
  <c r="C38" i="2"/>
  <c r="AT53" i="1"/>
  <c r="AT60" i="1"/>
  <c r="AT50" i="1"/>
  <c r="AT49" i="1"/>
  <c r="AT59" i="1"/>
  <c r="AT58" i="1"/>
  <c r="AT40" i="1"/>
  <c r="AT57" i="1"/>
  <c r="AT45" i="1"/>
  <c r="AT52" i="1"/>
  <c r="AT48" i="1"/>
  <c r="AT44" i="1"/>
  <c r="AT39" i="1"/>
  <c r="AT46" i="1"/>
  <c r="AT42" i="1"/>
  <c r="AT47" i="1"/>
  <c r="AT37" i="1"/>
  <c r="AT36" i="1"/>
  <c r="AT35" i="1"/>
  <c r="AT34" i="1"/>
  <c r="AT30" i="1"/>
  <c r="AT29" i="1"/>
  <c r="AU17" i="1"/>
  <c r="AT41" i="1"/>
  <c r="AT33" i="1"/>
  <c r="AT27" i="1"/>
  <c r="AT26" i="1"/>
  <c r="AT25" i="1"/>
  <c r="AT31" i="1"/>
  <c r="AT23" i="1"/>
  <c r="AT22" i="1"/>
  <c r="AT21" i="1"/>
  <c r="AU16" i="1"/>
  <c r="AS62" i="1"/>
  <c r="AS67" i="1" s="1"/>
  <c r="E37" i="2" s="1"/>
  <c r="AT60" i="8"/>
  <c r="AT59" i="8"/>
  <c r="AT58" i="8"/>
  <c r="AT55" i="8"/>
  <c r="AT54" i="8"/>
  <c r="AT57" i="8"/>
  <c r="AT53" i="8"/>
  <c r="AT56" i="8"/>
  <c r="AT52" i="8"/>
  <c r="AT47" i="8"/>
  <c r="AT46" i="8"/>
  <c r="AT48" i="8"/>
  <c r="AT43" i="8"/>
  <c r="AT40" i="8"/>
  <c r="AT49" i="8"/>
  <c r="AT50" i="8"/>
  <c r="AT44" i="8"/>
  <c r="AT29" i="8"/>
  <c r="AT32" i="8"/>
  <c r="AT45" i="8"/>
  <c r="AT39" i="8"/>
  <c r="AT37" i="8"/>
  <c r="AT42" i="8"/>
  <c r="AT41" i="8"/>
  <c r="AT38" i="8"/>
  <c r="AT31" i="8"/>
  <c r="AT28" i="8"/>
  <c r="AU17" i="8"/>
  <c r="AT35" i="8"/>
  <c r="AT51" i="8"/>
  <c r="AT36" i="8"/>
  <c r="AT34" i="8"/>
  <c r="AT30" i="8"/>
  <c r="AT27" i="8"/>
  <c r="AT26" i="8"/>
  <c r="AT25" i="8"/>
  <c r="AT33" i="8"/>
  <c r="AT23" i="8"/>
  <c r="AT21" i="8"/>
  <c r="AT62" i="8" s="1"/>
  <c r="AT67" i="8" s="1"/>
  <c r="AT69" i="8" s="1"/>
  <c r="AU16" i="8"/>
  <c r="AU66" i="8" s="1"/>
  <c r="AT24" i="8"/>
  <c r="AT22" i="8"/>
  <c r="B39" i="2" l="1"/>
  <c r="AU66" i="1"/>
  <c r="AU53" i="1"/>
  <c r="AU52" i="1"/>
  <c r="C39" i="2"/>
  <c r="AU60" i="1"/>
  <c r="AU59" i="1"/>
  <c r="AU58" i="1"/>
  <c r="AU48" i="1"/>
  <c r="AU57" i="1"/>
  <c r="AU47" i="1"/>
  <c r="AU49" i="1"/>
  <c r="AU46" i="1"/>
  <c r="AU50" i="1"/>
  <c r="AU44" i="1"/>
  <c r="AU42" i="1"/>
  <c r="AU37" i="1"/>
  <c r="AU36" i="1"/>
  <c r="AU35" i="1"/>
  <c r="AU54" i="1"/>
  <c r="AU45" i="1"/>
  <c r="AU34" i="1"/>
  <c r="AU55" i="1"/>
  <c r="AU33" i="1"/>
  <c r="AU39" i="1"/>
  <c r="AU41" i="1"/>
  <c r="AU27" i="1"/>
  <c r="AU26" i="1"/>
  <c r="AU25" i="1"/>
  <c r="AU23" i="1"/>
  <c r="AU22" i="1"/>
  <c r="AV16" i="1"/>
  <c r="AU29" i="1"/>
  <c r="AU31" i="1"/>
  <c r="AU21" i="1"/>
  <c r="AV17" i="1"/>
  <c r="AU40" i="1"/>
  <c r="AU30" i="1"/>
  <c r="AU60" i="8"/>
  <c r="AU59" i="8"/>
  <c r="AU58" i="8"/>
  <c r="AU57" i="8"/>
  <c r="AU53" i="8"/>
  <c r="AU56" i="8"/>
  <c r="AU52" i="8"/>
  <c r="AU51" i="8"/>
  <c r="AU50" i="8"/>
  <c r="AU49" i="8"/>
  <c r="AU46" i="8"/>
  <c r="AU45" i="8"/>
  <c r="AU44" i="8"/>
  <c r="AU42" i="8"/>
  <c r="AU41" i="8"/>
  <c r="AU39" i="8"/>
  <c r="AU43" i="8"/>
  <c r="AU35" i="8"/>
  <c r="AU34" i="8"/>
  <c r="AU55" i="8"/>
  <c r="AU54" i="8"/>
  <c r="AU48" i="8"/>
  <c r="AU37" i="8"/>
  <c r="AU38" i="8"/>
  <c r="AU47" i="8"/>
  <c r="AU36" i="8"/>
  <c r="AU40" i="8"/>
  <c r="AU28" i="8"/>
  <c r="AU29" i="8"/>
  <c r="AU23" i="8"/>
  <c r="AU22" i="8"/>
  <c r="AU21" i="8"/>
  <c r="AU32" i="8"/>
  <c r="AU30" i="8"/>
  <c r="AU27" i="8"/>
  <c r="AU26" i="8"/>
  <c r="AU25" i="8"/>
  <c r="AU33" i="8"/>
  <c r="AU31" i="8"/>
  <c r="AV17" i="8"/>
  <c r="AV16" i="8"/>
  <c r="AV66" i="8" s="1"/>
  <c r="AU24" i="8"/>
  <c r="AT62" i="1"/>
  <c r="AT67" i="1" s="1"/>
  <c r="E38" i="2" s="1"/>
  <c r="AV66" i="1" l="1"/>
  <c r="B40" i="2"/>
  <c r="AU62" i="8"/>
  <c r="AU67" i="8" s="1"/>
  <c r="AU69" i="8" s="1"/>
  <c r="AV52" i="1"/>
  <c r="AV59" i="1"/>
  <c r="AV58" i="1"/>
  <c r="AV57" i="1"/>
  <c r="AV47" i="1"/>
  <c r="C40" i="2"/>
  <c r="AV49" i="1"/>
  <c r="AV45" i="1"/>
  <c r="AV48" i="1"/>
  <c r="AV55" i="1"/>
  <c r="AV54" i="1"/>
  <c r="AV53" i="1"/>
  <c r="AV42" i="1"/>
  <c r="AV41" i="1"/>
  <c r="AV50" i="1"/>
  <c r="AV46" i="1"/>
  <c r="AV37" i="1"/>
  <c r="AV36" i="1"/>
  <c r="AV35" i="1"/>
  <c r="AV44" i="1"/>
  <c r="AV34" i="1"/>
  <c r="AV33" i="1"/>
  <c r="AV40" i="1"/>
  <c r="AV60" i="1"/>
  <c r="AV39" i="1"/>
  <c r="AV27" i="1"/>
  <c r="AV26" i="1"/>
  <c r="AV25" i="1"/>
  <c r="AV31" i="1"/>
  <c r="AW16" i="1"/>
  <c r="AW17" i="1"/>
  <c r="AV23" i="1"/>
  <c r="AV22" i="1"/>
  <c r="AV21" i="1"/>
  <c r="AV30" i="1"/>
  <c r="AV29" i="1"/>
  <c r="AV60" i="8"/>
  <c r="AV59" i="8"/>
  <c r="AV57" i="8"/>
  <c r="AV56" i="8"/>
  <c r="AV52" i="8"/>
  <c r="AV55" i="8"/>
  <c r="AV48" i="8"/>
  <c r="AV45" i="8"/>
  <c r="AV53" i="8"/>
  <c r="AV51" i="8"/>
  <c r="AV44" i="8"/>
  <c r="AV58" i="8"/>
  <c r="AV43" i="8"/>
  <c r="AV40" i="8"/>
  <c r="AV54" i="8"/>
  <c r="AV38" i="8"/>
  <c r="AV37" i="8"/>
  <c r="AV36" i="8"/>
  <c r="AV46" i="8"/>
  <c r="AV50" i="8"/>
  <c r="AV47" i="8"/>
  <c r="AV35" i="8"/>
  <c r="AV34" i="8"/>
  <c r="AV33" i="8"/>
  <c r="AV39" i="8"/>
  <c r="AV42" i="8"/>
  <c r="AV41" i="8"/>
  <c r="AV29" i="8"/>
  <c r="AV49" i="8"/>
  <c r="AV32" i="8"/>
  <c r="AV30" i="8"/>
  <c r="AV27" i="8"/>
  <c r="AV26" i="8"/>
  <c r="AV25" i="8"/>
  <c r="AV24" i="8"/>
  <c r="AV28" i="8"/>
  <c r="AV23" i="8"/>
  <c r="AV21" i="8"/>
  <c r="AW17" i="8"/>
  <c r="AV31" i="8"/>
  <c r="AW16" i="8"/>
  <c r="AW66" i="8" s="1"/>
  <c r="AV22" i="8"/>
  <c r="AU62" i="1"/>
  <c r="AU67" i="1" s="1"/>
  <c r="E39" i="2" s="1"/>
  <c r="AV62" i="1" l="1"/>
  <c r="AV67" i="1" s="1"/>
  <c r="E40" i="2" s="1"/>
  <c r="AV62" i="8"/>
  <c r="AV67" i="8" s="1"/>
  <c r="AV69" i="8" s="1"/>
  <c r="AW60" i="8"/>
  <c r="AW58" i="8"/>
  <c r="AW47" i="8"/>
  <c r="AW59" i="8"/>
  <c r="AW57" i="8"/>
  <c r="AW53" i="8"/>
  <c r="AW51" i="8"/>
  <c r="AW44" i="8"/>
  <c r="AW43" i="8"/>
  <c r="AW48" i="8"/>
  <c r="AW39" i="8"/>
  <c r="AW49" i="8"/>
  <c r="AW45" i="8"/>
  <c r="AW35" i="8"/>
  <c r="AW50" i="8"/>
  <c r="AW55" i="8"/>
  <c r="AW52" i="8"/>
  <c r="AW42" i="8"/>
  <c r="AW41" i="8"/>
  <c r="AW33" i="8"/>
  <c r="AW46" i="8"/>
  <c r="AW32" i="8"/>
  <c r="AW38" i="8"/>
  <c r="AW36" i="8"/>
  <c r="AW31" i="8"/>
  <c r="AW30" i="8"/>
  <c r="AW40" i="8"/>
  <c r="AW56" i="8"/>
  <c r="AW25" i="8"/>
  <c r="AW34" i="8"/>
  <c r="AW37" i="8"/>
  <c r="AW29" i="8"/>
  <c r="AW54" i="8"/>
  <c r="AW28" i="8"/>
  <c r="AW23" i="8"/>
  <c r="AW21" i="8"/>
  <c r="AX17" i="8"/>
  <c r="AW27" i="8"/>
  <c r="AX16" i="8"/>
  <c r="AW26" i="8"/>
  <c r="AW24" i="8"/>
  <c r="AW22" i="8"/>
  <c r="AW60" i="1"/>
  <c r="AW57" i="1"/>
  <c r="AW55" i="1"/>
  <c r="AW54" i="1"/>
  <c r="AW49" i="1"/>
  <c r="AW46" i="1"/>
  <c r="AW58" i="1"/>
  <c r="AW50" i="1"/>
  <c r="AW44" i="1"/>
  <c r="AW53" i="1"/>
  <c r="AW52" i="1"/>
  <c r="AW42" i="1"/>
  <c r="AW41" i="1"/>
  <c r="AW40" i="1"/>
  <c r="C41" i="2"/>
  <c r="AW59" i="1"/>
  <c r="AW47" i="1"/>
  <c r="AW48" i="1"/>
  <c r="AW35" i="1"/>
  <c r="AW34" i="1"/>
  <c r="AW45" i="1"/>
  <c r="AW33" i="1"/>
  <c r="AW37" i="1"/>
  <c r="AW36" i="1"/>
  <c r="AW25" i="1"/>
  <c r="AW31" i="1"/>
  <c r="AW23" i="1"/>
  <c r="AW22" i="1"/>
  <c r="AW21" i="1"/>
  <c r="AX16" i="1"/>
  <c r="AX17" i="1"/>
  <c r="AW39" i="1"/>
  <c r="AW30" i="1"/>
  <c r="AW29" i="1"/>
  <c r="AW27" i="1"/>
  <c r="AW26" i="1"/>
  <c r="B41" i="2"/>
  <c r="AW66" i="1"/>
  <c r="AW62" i="8" l="1"/>
  <c r="AW67" i="8" s="1"/>
  <c r="AW69" i="8" s="1"/>
  <c r="AX60" i="8"/>
  <c r="AX52" i="8"/>
  <c r="AX46" i="8"/>
  <c r="AX56" i="8"/>
  <c r="AX54" i="8"/>
  <c r="AX51" i="8"/>
  <c r="AX55" i="8"/>
  <c r="AX47" i="8"/>
  <c r="AX42" i="8"/>
  <c r="AX41" i="8"/>
  <c r="AX53" i="8"/>
  <c r="AX44" i="8"/>
  <c r="AX58" i="8"/>
  <c r="AX49" i="8"/>
  <c r="AX45" i="8"/>
  <c r="AX36" i="8"/>
  <c r="AX40" i="8"/>
  <c r="AX59" i="8"/>
  <c r="AX50" i="8"/>
  <c r="AX34" i="8"/>
  <c r="AX57" i="8"/>
  <c r="AX43" i="8"/>
  <c r="AX27" i="8"/>
  <c r="AX26" i="8"/>
  <c r="AX39" i="8"/>
  <c r="AX32" i="8"/>
  <c r="AX30" i="8"/>
  <c r="AX35" i="8"/>
  <c r="AX24" i="8"/>
  <c r="AX37" i="8"/>
  <c r="AX33" i="8"/>
  <c r="AX48" i="8"/>
  <c r="AX31" i="8"/>
  <c r="AX28" i="8"/>
  <c r="AX23" i="8"/>
  <c r="AX21" i="8"/>
  <c r="AY17" i="8"/>
  <c r="AY16" i="8"/>
  <c r="AY66" i="8" s="1"/>
  <c r="AX38" i="8"/>
  <c r="AX29" i="8"/>
  <c r="AX22" i="8"/>
  <c r="AX25" i="8"/>
  <c r="AX60" i="1"/>
  <c r="AX50" i="1"/>
  <c r="AX49" i="1"/>
  <c r="C42" i="2"/>
  <c r="AX59" i="1"/>
  <c r="AX58" i="1"/>
  <c r="AX55" i="1"/>
  <c r="AX54" i="1"/>
  <c r="AX53" i="1"/>
  <c r="AX45" i="1"/>
  <c r="AX48" i="1"/>
  <c r="AX46" i="1"/>
  <c r="AX34" i="1"/>
  <c r="AX47" i="1"/>
  <c r="AX44" i="1"/>
  <c r="AX57" i="1"/>
  <c r="AX40" i="1"/>
  <c r="AX31" i="1"/>
  <c r="AX30" i="1"/>
  <c r="AX41" i="1"/>
  <c r="AX39" i="1"/>
  <c r="AX42" i="1"/>
  <c r="AX35" i="1"/>
  <c r="AX23" i="1"/>
  <c r="AY16" i="1"/>
  <c r="AX26" i="1"/>
  <c r="AX22" i="1"/>
  <c r="AX21" i="1"/>
  <c r="AX62" i="1" s="1"/>
  <c r="AX67" i="1" s="1"/>
  <c r="E42" i="2" s="1"/>
  <c r="AX27" i="1"/>
  <c r="AX52" i="1"/>
  <c r="AY17" i="1"/>
  <c r="AX36" i="1"/>
  <c r="AX29" i="1"/>
  <c r="AX33" i="1"/>
  <c r="AX37" i="1"/>
  <c r="AX25" i="1"/>
  <c r="B42" i="2"/>
  <c r="AX66" i="1"/>
  <c r="AW62" i="1"/>
  <c r="AW67" i="1" s="1"/>
  <c r="E41" i="2" s="1"/>
  <c r="AX66" i="8"/>
  <c r="AY60" i="8" l="1"/>
  <c r="AY59" i="8"/>
  <c r="AY58" i="8"/>
  <c r="AY45" i="8"/>
  <c r="AY56" i="8"/>
  <c r="AY54" i="8"/>
  <c r="AY50" i="8"/>
  <c r="AY49" i="8"/>
  <c r="AY53" i="8"/>
  <c r="AY46" i="8"/>
  <c r="AY55" i="8"/>
  <c r="AY47" i="8"/>
  <c r="AY52" i="8"/>
  <c r="AY40" i="8"/>
  <c r="AY57" i="8"/>
  <c r="AY48" i="8"/>
  <c r="AY44" i="8"/>
  <c r="AY43" i="8"/>
  <c r="AY37" i="8"/>
  <c r="AY42" i="8"/>
  <c r="AY41" i="8"/>
  <c r="AY34" i="8"/>
  <c r="AY51" i="8"/>
  <c r="AY35" i="8"/>
  <c r="AY33" i="8"/>
  <c r="AY39" i="8"/>
  <c r="AY32" i="8"/>
  <c r="AY30" i="8"/>
  <c r="AY25" i="8"/>
  <c r="AY36" i="8"/>
  <c r="AY31" i="8"/>
  <c r="AY28" i="8"/>
  <c r="AY38" i="8"/>
  <c r="AY29" i="8"/>
  <c r="AY27" i="8"/>
  <c r="AY26" i="8"/>
  <c r="AZ16" i="8"/>
  <c r="AZ66" i="8" s="1"/>
  <c r="AY22" i="8"/>
  <c r="AY24" i="8"/>
  <c r="AY23" i="8"/>
  <c r="AY21" i="8"/>
  <c r="AZ17" i="8"/>
  <c r="AX62" i="8"/>
  <c r="AX67" i="8" s="1"/>
  <c r="AX69" i="8" s="1"/>
  <c r="B43" i="2"/>
  <c r="AY66" i="1"/>
  <c r="AY59" i="1"/>
  <c r="AY58" i="1"/>
  <c r="AY48" i="1"/>
  <c r="AY57" i="1"/>
  <c r="C43" i="2"/>
  <c r="AY53" i="1"/>
  <c r="AY52" i="1"/>
  <c r="AY44" i="1"/>
  <c r="AY50" i="1"/>
  <c r="AY42" i="1"/>
  <c r="AY55" i="1"/>
  <c r="AY54" i="1"/>
  <c r="AY60" i="1"/>
  <c r="AY47" i="1"/>
  <c r="AY49" i="1"/>
  <c r="AY33" i="1"/>
  <c r="AY45" i="1"/>
  <c r="AY40" i="1"/>
  <c r="AY31" i="1"/>
  <c r="AY30" i="1"/>
  <c r="AY41" i="1"/>
  <c r="AY39" i="1"/>
  <c r="AY46" i="1"/>
  <c r="AY34" i="1"/>
  <c r="AY23" i="1"/>
  <c r="AY22" i="1"/>
  <c r="AY21" i="1"/>
  <c r="AY62" i="1" s="1"/>
  <c r="AY67" i="1" s="1"/>
  <c r="E43" i="2" s="1"/>
  <c r="AZ16" i="1"/>
  <c r="AZ17" i="1"/>
  <c r="AY25" i="1"/>
  <c r="AY36" i="1"/>
  <c r="AY29" i="1"/>
  <c r="AY27" i="1"/>
  <c r="AY26" i="1"/>
  <c r="AY37" i="1"/>
  <c r="AY35" i="1"/>
  <c r="AZ57" i="1" l="1"/>
  <c r="G57" i="1" s="1"/>
  <c r="AZ47" i="1"/>
  <c r="G47" i="1" s="1"/>
  <c r="AZ52" i="1"/>
  <c r="G52" i="1" s="1"/>
  <c r="C44" i="2"/>
  <c r="AZ50" i="1"/>
  <c r="AZ58" i="1"/>
  <c r="G58" i="1" s="1"/>
  <c r="AZ48" i="1"/>
  <c r="G48" i="1" s="1"/>
  <c r="AZ60" i="1"/>
  <c r="G60" i="1" s="1"/>
  <c r="AZ46" i="1"/>
  <c r="G46" i="1" s="1"/>
  <c r="AZ53" i="1"/>
  <c r="G53" i="1" s="1"/>
  <c r="AZ49" i="1"/>
  <c r="G49" i="1" s="1"/>
  <c r="AZ45" i="1"/>
  <c r="G45" i="1" s="1"/>
  <c r="AZ44" i="1"/>
  <c r="G44" i="1" s="1"/>
  <c r="AZ40" i="1"/>
  <c r="G40" i="1" s="1"/>
  <c r="AZ59" i="1"/>
  <c r="AZ54" i="1"/>
  <c r="G54" i="1" s="1"/>
  <c r="AZ41" i="1"/>
  <c r="G41" i="1" s="1"/>
  <c r="AZ39" i="1"/>
  <c r="G39" i="1" s="1"/>
  <c r="AZ55" i="1"/>
  <c r="AZ37" i="1"/>
  <c r="AZ36" i="1"/>
  <c r="G36" i="1" s="1"/>
  <c r="AZ42" i="1"/>
  <c r="AZ31" i="1"/>
  <c r="BA17" i="1"/>
  <c r="AZ34" i="1"/>
  <c r="G34" i="1" s="1"/>
  <c r="AZ29" i="1"/>
  <c r="G29" i="1" s="1"/>
  <c r="AZ27" i="1"/>
  <c r="AZ26" i="1"/>
  <c r="G26" i="1" s="1"/>
  <c r="AZ35" i="1"/>
  <c r="G35" i="1" s="1"/>
  <c r="AZ33" i="1"/>
  <c r="G33" i="1" s="1"/>
  <c r="AZ30" i="1"/>
  <c r="G30" i="1" s="1"/>
  <c r="AZ25" i="1"/>
  <c r="G25" i="1" s="1"/>
  <c r="AZ21" i="1"/>
  <c r="AZ22" i="1"/>
  <c r="AZ23" i="1"/>
  <c r="BA16" i="1"/>
  <c r="AZ60" i="8"/>
  <c r="G60" i="8" s="1"/>
  <c r="AZ59" i="8"/>
  <c r="AZ58" i="8"/>
  <c r="G58" i="8" s="1"/>
  <c r="AZ55" i="8"/>
  <c r="AZ54" i="8"/>
  <c r="G54" i="8" s="1"/>
  <c r="AZ57" i="8"/>
  <c r="G57" i="8" s="1"/>
  <c r="AZ53" i="8"/>
  <c r="G53" i="8" s="1"/>
  <c r="AZ51" i="8"/>
  <c r="AZ44" i="8"/>
  <c r="G44" i="8" s="1"/>
  <c r="AZ50" i="8"/>
  <c r="AZ49" i="8"/>
  <c r="G49" i="8" s="1"/>
  <c r="AZ48" i="8"/>
  <c r="G48" i="8" s="1"/>
  <c r="AZ45" i="8"/>
  <c r="G45" i="8" s="1"/>
  <c r="AZ52" i="8"/>
  <c r="G52" i="8" s="1"/>
  <c r="AZ43" i="8"/>
  <c r="AZ39" i="8"/>
  <c r="G39" i="8" s="1"/>
  <c r="AZ56" i="8"/>
  <c r="AZ46" i="8"/>
  <c r="G46" i="8" s="1"/>
  <c r="AZ37" i="8"/>
  <c r="AZ38" i="8"/>
  <c r="AZ40" i="8"/>
  <c r="G40" i="8" s="1"/>
  <c r="AZ34" i="8"/>
  <c r="G34" i="8" s="1"/>
  <c r="AZ47" i="8"/>
  <c r="G47" i="8" s="1"/>
  <c r="AZ35" i="8"/>
  <c r="G35" i="8" s="1"/>
  <c r="AZ33" i="8"/>
  <c r="G33" i="8" s="1"/>
  <c r="AZ24" i="8"/>
  <c r="AZ36" i="8"/>
  <c r="G36" i="8" s="1"/>
  <c r="AZ31" i="8"/>
  <c r="AZ28" i="8"/>
  <c r="AZ42" i="8"/>
  <c r="AZ29" i="8"/>
  <c r="G29" i="8" s="1"/>
  <c r="AZ32" i="8"/>
  <c r="AZ30" i="8"/>
  <c r="G30" i="8" s="1"/>
  <c r="AZ25" i="8"/>
  <c r="G25" i="8" s="1"/>
  <c r="AZ41" i="8"/>
  <c r="G41" i="8" s="1"/>
  <c r="AZ27" i="8"/>
  <c r="AZ22" i="8"/>
  <c r="AZ26" i="8"/>
  <c r="G26" i="8" s="1"/>
  <c r="AZ23" i="8"/>
  <c r="AZ21" i="8"/>
  <c r="BA17" i="8"/>
  <c r="BA16" i="8"/>
  <c r="BA66" i="8" s="1"/>
  <c r="AZ66" i="1"/>
  <c r="B44" i="2"/>
  <c r="AY62" i="8"/>
  <c r="AY67" i="8" s="1"/>
  <c r="AY69" i="8" s="1"/>
  <c r="BA55" i="1" l="1"/>
  <c r="BA54" i="1"/>
  <c r="BA60" i="1"/>
  <c r="BA50" i="1"/>
  <c r="BA49" i="1"/>
  <c r="BA58" i="1"/>
  <c r="BA48" i="1"/>
  <c r="BA42" i="1"/>
  <c r="BA41" i="1"/>
  <c r="BA57" i="1"/>
  <c r="BA53" i="1"/>
  <c r="BA52" i="1"/>
  <c r="BA47" i="1"/>
  <c r="BA46" i="1"/>
  <c r="C45" i="2"/>
  <c r="BA59" i="1"/>
  <c r="BA45" i="1"/>
  <c r="BA40" i="1"/>
  <c r="BA39" i="1"/>
  <c r="BA37" i="1"/>
  <c r="BA36" i="1"/>
  <c r="BA35" i="1"/>
  <c r="BA44" i="1"/>
  <c r="BB16" i="1"/>
  <c r="BA34" i="1"/>
  <c r="BA29" i="1"/>
  <c r="BA23" i="1"/>
  <c r="BA25" i="1"/>
  <c r="BA33" i="1"/>
  <c r="BA30" i="1"/>
  <c r="BA27" i="1"/>
  <c r="BA26" i="1"/>
  <c r="BA22" i="1"/>
  <c r="BA21" i="1"/>
  <c r="BA31" i="1"/>
  <c r="BB17" i="1"/>
  <c r="B45" i="2"/>
  <c r="BA66" i="1"/>
  <c r="BA60" i="8"/>
  <c r="BA59" i="8"/>
  <c r="BA58" i="8"/>
  <c r="BA55" i="8"/>
  <c r="BA54" i="8"/>
  <c r="BA57" i="8"/>
  <c r="BA53" i="8"/>
  <c r="BA43" i="8"/>
  <c r="BA48" i="8"/>
  <c r="BA47" i="8"/>
  <c r="BA51" i="8"/>
  <c r="BA49" i="8"/>
  <c r="BA46" i="8"/>
  <c r="BA50" i="8"/>
  <c r="BA42" i="8"/>
  <c r="BA41" i="8"/>
  <c r="BA56" i="8"/>
  <c r="BA44" i="8"/>
  <c r="BA38" i="8"/>
  <c r="BA37" i="8"/>
  <c r="BA39" i="8"/>
  <c r="BA36" i="8"/>
  <c r="BA31" i="8"/>
  <c r="BA30" i="8"/>
  <c r="BA35" i="8"/>
  <c r="BA33" i="8"/>
  <c r="BA32" i="8"/>
  <c r="BA52" i="8"/>
  <c r="BA45" i="8"/>
  <c r="BA34" i="8"/>
  <c r="BA28" i="8"/>
  <c r="BB16" i="8"/>
  <c r="BA29" i="8"/>
  <c r="BA23" i="8"/>
  <c r="BA22" i="8"/>
  <c r="BA21" i="8"/>
  <c r="BA40" i="8"/>
  <c r="BA27" i="8"/>
  <c r="BA26" i="8"/>
  <c r="BA24" i="8"/>
  <c r="BB17" i="8"/>
  <c r="BA25" i="8"/>
  <c r="AZ62" i="8"/>
  <c r="AZ67" i="8" s="1"/>
  <c r="AZ69" i="8" s="1"/>
  <c r="G21" i="8"/>
  <c r="AZ62" i="1"/>
  <c r="AZ67" i="1" s="1"/>
  <c r="E44" i="2" s="1"/>
  <c r="G21" i="1"/>
  <c r="B46" i="2" l="1"/>
  <c r="BB66" i="1"/>
  <c r="BB60" i="8"/>
  <c r="BB59" i="8"/>
  <c r="BB58" i="8"/>
  <c r="BB55" i="8"/>
  <c r="BB54" i="8"/>
  <c r="BB57" i="8"/>
  <c r="BB53" i="8"/>
  <c r="BB56" i="8"/>
  <c r="BB52" i="8"/>
  <c r="BB47" i="8"/>
  <c r="BB46" i="8"/>
  <c r="BB40" i="8"/>
  <c r="BB48" i="8"/>
  <c r="BB45" i="8"/>
  <c r="BB49" i="8"/>
  <c r="BB39" i="8"/>
  <c r="BB38" i="8"/>
  <c r="BB36" i="8"/>
  <c r="BB29" i="8"/>
  <c r="BB32" i="8"/>
  <c r="BB51" i="8"/>
  <c r="BB50" i="8"/>
  <c r="BB43" i="8"/>
  <c r="BB35" i="8"/>
  <c r="BB34" i="8"/>
  <c r="BB28" i="8"/>
  <c r="BB37" i="8"/>
  <c r="BB31" i="8"/>
  <c r="BC17" i="8"/>
  <c r="BB44" i="8"/>
  <c r="BB42" i="8"/>
  <c r="BB33" i="8"/>
  <c r="BB27" i="8"/>
  <c r="BB26" i="8"/>
  <c r="BB41" i="8"/>
  <c r="BB22" i="8"/>
  <c r="BB24" i="8"/>
  <c r="BB25" i="8"/>
  <c r="BB23" i="8"/>
  <c r="BB21" i="8"/>
  <c r="BC16" i="8"/>
  <c r="BB30" i="8"/>
  <c r="BB55" i="1"/>
  <c r="BB54" i="1"/>
  <c r="C46" i="2"/>
  <c r="BB53" i="1"/>
  <c r="BB60" i="1"/>
  <c r="BB50" i="1"/>
  <c r="BB49" i="1"/>
  <c r="BB59" i="1"/>
  <c r="BB58" i="1"/>
  <c r="BB40" i="1"/>
  <c r="BB57" i="1"/>
  <c r="BB52" i="1"/>
  <c r="BB45" i="1"/>
  <c r="BB44" i="1"/>
  <c r="BB48" i="1"/>
  <c r="BB47" i="1"/>
  <c r="BB39" i="1"/>
  <c r="BB41" i="1"/>
  <c r="BB37" i="1"/>
  <c r="BB36" i="1"/>
  <c r="BB35" i="1"/>
  <c r="BB34" i="1"/>
  <c r="BB29" i="1"/>
  <c r="BB42" i="1"/>
  <c r="BB46" i="1"/>
  <c r="BB33" i="1"/>
  <c r="BB30" i="1"/>
  <c r="BB27" i="1"/>
  <c r="BB26" i="1"/>
  <c r="BB31" i="1"/>
  <c r="BC17" i="1"/>
  <c r="BB25" i="1"/>
  <c r="BB23" i="1"/>
  <c r="BB22" i="1"/>
  <c r="BB21" i="1"/>
  <c r="BC16" i="1"/>
  <c r="BB66" i="8"/>
  <c r="BA62" i="1"/>
  <c r="BA67" i="1" s="1"/>
  <c r="E45" i="2" s="1"/>
  <c r="BA62" i="8"/>
  <c r="BA67" i="8" s="1"/>
  <c r="BA69" i="8" s="1"/>
  <c r="B47" i="2" l="1"/>
  <c r="BC66" i="1"/>
  <c r="BC60" i="8"/>
  <c r="BC59" i="8"/>
  <c r="BC58" i="8"/>
  <c r="BC57" i="8"/>
  <c r="BC53" i="8"/>
  <c r="BC56" i="8"/>
  <c r="BC52" i="8"/>
  <c r="BC51" i="8"/>
  <c r="BC50" i="8"/>
  <c r="BC49" i="8"/>
  <c r="BC46" i="8"/>
  <c r="BC55" i="8"/>
  <c r="BC45" i="8"/>
  <c r="BC54" i="8"/>
  <c r="BC42" i="8"/>
  <c r="BC41" i="8"/>
  <c r="BC47" i="8"/>
  <c r="BC39" i="8"/>
  <c r="BC48" i="8"/>
  <c r="BC34" i="8"/>
  <c r="BC43" i="8"/>
  <c r="BC44" i="8"/>
  <c r="BC37" i="8"/>
  <c r="BC35" i="8"/>
  <c r="BC28" i="8"/>
  <c r="BC36" i="8"/>
  <c r="BC31" i="8"/>
  <c r="BC33" i="8"/>
  <c r="BC29" i="8"/>
  <c r="BC23" i="8"/>
  <c r="BC22" i="8"/>
  <c r="BC21" i="8"/>
  <c r="BC27" i="8"/>
  <c r="BC26" i="8"/>
  <c r="BC38" i="8"/>
  <c r="BC25" i="8"/>
  <c r="BC30" i="8"/>
  <c r="BC40" i="8"/>
  <c r="BC24" i="8"/>
  <c r="BC32" i="8"/>
  <c r="BD17" i="8"/>
  <c r="BD16" i="8"/>
  <c r="BD66" i="8" s="1"/>
  <c r="BC66" i="8"/>
  <c r="BB62" i="1"/>
  <c r="BB67" i="1" s="1"/>
  <c r="E46" i="2" s="1"/>
  <c r="BB62" i="8"/>
  <c r="BB67" i="8" s="1"/>
  <c r="BB69" i="8" s="1"/>
  <c r="BC53" i="1"/>
  <c r="BC52" i="1"/>
  <c r="C47" i="2"/>
  <c r="BC60" i="1"/>
  <c r="BC59" i="1"/>
  <c r="BC58" i="1"/>
  <c r="BC48" i="1"/>
  <c r="BC57" i="1"/>
  <c r="BC55" i="1"/>
  <c r="BC54" i="1"/>
  <c r="BC47" i="1"/>
  <c r="BC46" i="1"/>
  <c r="BC44" i="1"/>
  <c r="BC49" i="1"/>
  <c r="BC50" i="1"/>
  <c r="BC41" i="1"/>
  <c r="BC37" i="1"/>
  <c r="BC36" i="1"/>
  <c r="BC35" i="1"/>
  <c r="BC34" i="1"/>
  <c r="BC42" i="1"/>
  <c r="BC33" i="1"/>
  <c r="BC45" i="1"/>
  <c r="BC40" i="1"/>
  <c r="BC39" i="1"/>
  <c r="BC30" i="1"/>
  <c r="BC27" i="1"/>
  <c r="BC26" i="1"/>
  <c r="BC29" i="1"/>
  <c r="BC25" i="1"/>
  <c r="BC23" i="1"/>
  <c r="BC22" i="1"/>
  <c r="BC21" i="1"/>
  <c r="BD16" i="1"/>
  <c r="BC31" i="1"/>
  <c r="BD17" i="1"/>
  <c r="BC62" i="1" l="1"/>
  <c r="BC67" i="1" s="1"/>
  <c r="E47" i="2" s="1"/>
  <c r="BD52" i="1"/>
  <c r="BD59" i="1"/>
  <c r="BD58" i="1"/>
  <c r="BD57" i="1"/>
  <c r="BD47" i="1"/>
  <c r="C48" i="2"/>
  <c r="BD55" i="1"/>
  <c r="BD54" i="1"/>
  <c r="BD53" i="1"/>
  <c r="BD45" i="1"/>
  <c r="BD49" i="1"/>
  <c r="BD42" i="1"/>
  <c r="BD41" i="1"/>
  <c r="BD37" i="1"/>
  <c r="BD36" i="1"/>
  <c r="BD35" i="1"/>
  <c r="BD34" i="1"/>
  <c r="BD33" i="1"/>
  <c r="BD50" i="1"/>
  <c r="BD48" i="1"/>
  <c r="BD46" i="1"/>
  <c r="BD30" i="1"/>
  <c r="BD27" i="1"/>
  <c r="BD26" i="1"/>
  <c r="BD39" i="1"/>
  <c r="BD44" i="1"/>
  <c r="BD25" i="1"/>
  <c r="BE16" i="1"/>
  <c r="BE17" i="1"/>
  <c r="BD29" i="1"/>
  <c r="BD60" i="1"/>
  <c r="BD23" i="1"/>
  <c r="BD22" i="1"/>
  <c r="BD21" i="1"/>
  <c r="BD31" i="1"/>
  <c r="BD40" i="1"/>
  <c r="BD60" i="8"/>
  <c r="BD59" i="8"/>
  <c r="BD57" i="8"/>
  <c r="BD56" i="8"/>
  <c r="BD52" i="8"/>
  <c r="BD58" i="8"/>
  <c r="BD48" i="8"/>
  <c r="BD55" i="8"/>
  <c r="BD45" i="8"/>
  <c r="BD44" i="8"/>
  <c r="BD50" i="8"/>
  <c r="BD40" i="8"/>
  <c r="BD43" i="8"/>
  <c r="BD38" i="8"/>
  <c r="BD37" i="8"/>
  <c r="BD36" i="8"/>
  <c r="BD51" i="8"/>
  <c r="BD49" i="8"/>
  <c r="BD34" i="8"/>
  <c r="BD42" i="8"/>
  <c r="BD41" i="8"/>
  <c r="BD35" i="8"/>
  <c r="BD33" i="8"/>
  <c r="BD47" i="8"/>
  <c r="BD31" i="8"/>
  <c r="BD29" i="8"/>
  <c r="BD27" i="8"/>
  <c r="BD26" i="8"/>
  <c r="BD46" i="8"/>
  <c r="BD25" i="8"/>
  <c r="BD30" i="8"/>
  <c r="BD24" i="8"/>
  <c r="BD54" i="8"/>
  <c r="BD32" i="8"/>
  <c r="BD39" i="8"/>
  <c r="BD28" i="8"/>
  <c r="BD53" i="8"/>
  <c r="BD22" i="8"/>
  <c r="BE17" i="8"/>
  <c r="BD23" i="8"/>
  <c r="BD21" i="8"/>
  <c r="BE16" i="8"/>
  <c r="BE66" i="8" s="1"/>
  <c r="BC62" i="8"/>
  <c r="BC67" i="8" s="1"/>
  <c r="BC69" i="8" s="1"/>
  <c r="BD66" i="1"/>
  <c r="B48" i="2"/>
  <c r="BE60" i="1" l="1"/>
  <c r="BE50" i="1"/>
  <c r="BE57" i="1"/>
  <c r="BE55" i="1"/>
  <c r="BE54" i="1"/>
  <c r="BE53" i="1"/>
  <c r="BE52" i="1"/>
  <c r="BE46" i="1"/>
  <c r="BE44" i="1"/>
  <c r="C49" i="2"/>
  <c r="BE59" i="1"/>
  <c r="BE42" i="1"/>
  <c r="BE41" i="1"/>
  <c r="BE48" i="1"/>
  <c r="BE40" i="1"/>
  <c r="BE58" i="1"/>
  <c r="BE35" i="1"/>
  <c r="BE34" i="1"/>
  <c r="BE33" i="1"/>
  <c r="BE49" i="1"/>
  <c r="BE47" i="1"/>
  <c r="BE37" i="1"/>
  <c r="BE36" i="1"/>
  <c r="BE25" i="1"/>
  <c r="BE30" i="1"/>
  <c r="BE23" i="1"/>
  <c r="BE22" i="1"/>
  <c r="BE21" i="1"/>
  <c r="BF16" i="1"/>
  <c r="BF17" i="1"/>
  <c r="BE31" i="1"/>
  <c r="BE45" i="1"/>
  <c r="BE39" i="1"/>
  <c r="BE29" i="1"/>
  <c r="BE26" i="1"/>
  <c r="BE27" i="1"/>
  <c r="BD62" i="8"/>
  <c r="BD67" i="8" s="1"/>
  <c r="BD69" i="8" s="1"/>
  <c r="B49" i="2"/>
  <c r="BE66" i="1"/>
  <c r="BD62" i="1"/>
  <c r="BD67" i="1" s="1"/>
  <c r="E48" i="2" s="1"/>
  <c r="BE60" i="8"/>
  <c r="BE59" i="8"/>
  <c r="BE56" i="8"/>
  <c r="BE54" i="8"/>
  <c r="BE47" i="8"/>
  <c r="BE44" i="8"/>
  <c r="BE52" i="8"/>
  <c r="BE51" i="8"/>
  <c r="BE43" i="8"/>
  <c r="BE42" i="8"/>
  <c r="BE53" i="8"/>
  <c r="BE39" i="8"/>
  <c r="BE35" i="8"/>
  <c r="BE57" i="8"/>
  <c r="BE49" i="8"/>
  <c r="BE45" i="8"/>
  <c r="BE58" i="8"/>
  <c r="BE46" i="8"/>
  <c r="BE41" i="8"/>
  <c r="BE33" i="8"/>
  <c r="BE40" i="8"/>
  <c r="BE32" i="8"/>
  <c r="BE50" i="8"/>
  <c r="BE37" i="8"/>
  <c r="BE31" i="8"/>
  <c r="BE30" i="8"/>
  <c r="BE38" i="8"/>
  <c r="BE36" i="8"/>
  <c r="BE34" i="8"/>
  <c r="BE29" i="8"/>
  <c r="BE55" i="8"/>
  <c r="BE25" i="8"/>
  <c r="BE48" i="8"/>
  <c r="BE24" i="8"/>
  <c r="BE26" i="8"/>
  <c r="BF17" i="8"/>
  <c r="BE23" i="8"/>
  <c r="BE21" i="8"/>
  <c r="BF16" i="8"/>
  <c r="BF66" i="8" s="1"/>
  <c r="BE28" i="8"/>
  <c r="BE27" i="8"/>
  <c r="BE22" i="8"/>
  <c r="BF60" i="1" l="1"/>
  <c r="BF50" i="1"/>
  <c r="BF49" i="1"/>
  <c r="C50" i="2"/>
  <c r="BF59" i="1"/>
  <c r="BF58" i="1"/>
  <c r="BF55" i="1"/>
  <c r="BF54" i="1"/>
  <c r="BF53" i="1"/>
  <c r="BF57" i="1"/>
  <c r="BF47" i="1"/>
  <c r="BF45" i="1"/>
  <c r="BF48" i="1"/>
  <c r="BF52" i="1"/>
  <c r="BF46" i="1"/>
  <c r="BF34" i="1"/>
  <c r="BF42" i="1"/>
  <c r="BF31" i="1"/>
  <c r="BF30" i="1"/>
  <c r="BF39" i="1"/>
  <c r="BF41" i="1"/>
  <c r="BF35" i="1"/>
  <c r="BF44" i="1"/>
  <c r="BF21" i="1"/>
  <c r="BF33" i="1"/>
  <c r="BF23" i="1"/>
  <c r="BF22" i="1"/>
  <c r="BG16" i="1"/>
  <c r="BF26" i="1"/>
  <c r="BF36" i="1"/>
  <c r="BG17" i="1"/>
  <c r="BF29" i="1"/>
  <c r="BF40" i="1"/>
  <c r="BF37" i="1"/>
  <c r="BF27" i="1"/>
  <c r="BF25" i="1"/>
  <c r="B50" i="2"/>
  <c r="BF66" i="1"/>
  <c r="BE62" i="1"/>
  <c r="BE67" i="1" s="1"/>
  <c r="E49" i="2" s="1"/>
  <c r="BE62" i="8"/>
  <c r="BE67" i="8" s="1"/>
  <c r="BE69" i="8" s="1"/>
  <c r="BF60" i="8"/>
  <c r="BF57" i="8"/>
  <c r="BF46" i="8"/>
  <c r="BF52" i="8"/>
  <c r="BF51" i="8"/>
  <c r="BF58" i="8"/>
  <c r="BF59" i="8"/>
  <c r="BF47" i="8"/>
  <c r="BF55" i="8"/>
  <c r="BF48" i="8"/>
  <c r="BF44" i="8"/>
  <c r="BF56" i="8"/>
  <c r="BF49" i="8"/>
  <c r="BF45" i="8"/>
  <c r="BF41" i="8"/>
  <c r="BF54" i="8"/>
  <c r="BF50" i="8"/>
  <c r="BF42" i="8"/>
  <c r="BF40" i="8"/>
  <c r="BF35" i="8"/>
  <c r="BF43" i="8"/>
  <c r="BF37" i="8"/>
  <c r="BF38" i="8"/>
  <c r="BF36" i="8"/>
  <c r="BF53" i="8"/>
  <c r="BF39" i="8"/>
  <c r="BF34" i="8"/>
  <c r="BF27" i="8"/>
  <c r="BF26" i="8"/>
  <c r="BF33" i="8"/>
  <c r="BF24" i="8"/>
  <c r="BF30" i="8"/>
  <c r="BF32" i="8"/>
  <c r="BF31" i="8"/>
  <c r="BF29" i="8"/>
  <c r="BG17" i="8"/>
  <c r="BF23" i="8"/>
  <c r="BF21" i="8"/>
  <c r="BG16" i="8"/>
  <c r="BG66" i="8" s="1"/>
  <c r="BF25" i="8"/>
  <c r="BF28" i="8"/>
  <c r="BF22" i="8"/>
  <c r="BF62" i="1" l="1"/>
  <c r="BF67" i="1" s="1"/>
  <c r="E50" i="2" s="1"/>
  <c r="BG59" i="1"/>
  <c r="BG58" i="1"/>
  <c r="BG48" i="1"/>
  <c r="BG57" i="1"/>
  <c r="C51" i="2"/>
  <c r="BG53" i="1"/>
  <c r="BG52" i="1"/>
  <c r="BG55" i="1"/>
  <c r="BG54" i="1"/>
  <c r="BG44" i="1"/>
  <c r="BG60" i="1"/>
  <c r="BG49" i="1"/>
  <c r="BG42" i="1"/>
  <c r="BG50" i="1"/>
  <c r="BG47" i="1"/>
  <c r="BG45" i="1"/>
  <c r="BG33" i="1"/>
  <c r="BG31" i="1"/>
  <c r="BG30" i="1"/>
  <c r="BG39" i="1"/>
  <c r="BG46" i="1"/>
  <c r="BG40" i="1"/>
  <c r="BG34" i="1"/>
  <c r="BG23" i="1"/>
  <c r="BG22" i="1"/>
  <c r="BG21" i="1"/>
  <c r="BH16" i="1"/>
  <c r="BH17" i="1"/>
  <c r="BG36" i="1"/>
  <c r="BG41" i="1"/>
  <c r="BG29" i="1"/>
  <c r="BG37" i="1"/>
  <c r="BG35" i="1"/>
  <c r="BG27" i="1"/>
  <c r="BG26" i="1"/>
  <c r="BG25" i="1"/>
  <c r="BF62" i="8"/>
  <c r="BF67" i="8" s="1"/>
  <c r="BF69" i="8" s="1"/>
  <c r="BG60" i="8"/>
  <c r="BG59" i="8"/>
  <c r="BG58" i="8"/>
  <c r="BG55" i="8"/>
  <c r="BG45" i="8"/>
  <c r="BG53" i="8"/>
  <c r="BG50" i="8"/>
  <c r="BG49" i="8"/>
  <c r="BG43" i="8"/>
  <c r="BG52" i="8"/>
  <c r="BG57" i="8"/>
  <c r="BG54" i="8"/>
  <c r="BG51" i="8"/>
  <c r="BG46" i="8"/>
  <c r="BG42" i="8"/>
  <c r="BG40" i="8"/>
  <c r="BG41" i="8"/>
  <c r="BG48" i="8"/>
  <c r="BG38" i="8"/>
  <c r="BG36" i="8"/>
  <c r="BG44" i="8"/>
  <c r="BG39" i="8"/>
  <c r="BG34" i="8"/>
  <c r="BG56" i="8"/>
  <c r="BG33" i="8"/>
  <c r="BG47" i="8"/>
  <c r="BG25" i="8"/>
  <c r="BG37" i="8"/>
  <c r="BG30" i="8"/>
  <c r="BG32" i="8"/>
  <c r="BG28" i="8"/>
  <c r="BG35" i="8"/>
  <c r="BG27" i="8"/>
  <c r="BG26" i="8"/>
  <c r="BH17" i="8"/>
  <c r="BG23" i="8"/>
  <c r="BG21" i="8"/>
  <c r="BH16" i="8"/>
  <c r="BH66" i="8" s="1"/>
  <c r="BG31" i="8"/>
  <c r="BG29" i="8"/>
  <c r="BG22" i="8"/>
  <c r="BG24" i="8"/>
  <c r="B51" i="2"/>
  <c r="BG66" i="1"/>
  <c r="BH57" i="1" l="1"/>
  <c r="BH47" i="1"/>
  <c r="BH52" i="1"/>
  <c r="C52" i="2"/>
  <c r="BH60" i="1"/>
  <c r="BH49" i="1"/>
  <c r="BH50" i="1"/>
  <c r="BH46" i="1"/>
  <c r="BH55" i="1"/>
  <c r="BH54" i="1"/>
  <c r="BH53" i="1"/>
  <c r="BH59" i="1"/>
  <c r="BH42" i="1"/>
  <c r="BH39" i="1"/>
  <c r="BH40" i="1"/>
  <c r="BH44" i="1"/>
  <c r="BH37" i="1"/>
  <c r="BH36" i="1"/>
  <c r="BH58" i="1"/>
  <c r="BH34" i="1"/>
  <c r="BH33" i="1"/>
  <c r="BI17" i="1"/>
  <c r="BH31" i="1"/>
  <c r="BH29" i="1"/>
  <c r="BH27" i="1"/>
  <c r="BH26" i="1"/>
  <c r="BH41" i="1"/>
  <c r="BH45" i="1"/>
  <c r="BH48" i="1"/>
  <c r="BH35" i="1"/>
  <c r="BH25" i="1"/>
  <c r="BH30" i="1"/>
  <c r="BH22" i="1"/>
  <c r="BH23" i="1"/>
  <c r="BI16" i="1"/>
  <c r="BH21" i="1"/>
  <c r="BH66" i="1"/>
  <c r="B52" i="2"/>
  <c r="BG62" i="8"/>
  <c r="BG67" i="8" s="1"/>
  <c r="BG69" i="8" s="1"/>
  <c r="BG62" i="1"/>
  <c r="BG67" i="1" s="1"/>
  <c r="E51" i="2" s="1"/>
  <c r="BH60" i="8"/>
  <c r="BH59" i="8"/>
  <c r="BH58" i="8"/>
  <c r="BH55" i="8"/>
  <c r="BH54" i="8"/>
  <c r="BH44" i="8"/>
  <c r="BH53" i="8"/>
  <c r="BH50" i="8"/>
  <c r="BH49" i="8"/>
  <c r="BH57" i="8"/>
  <c r="BH48" i="8"/>
  <c r="BH56" i="8"/>
  <c r="BH51" i="8"/>
  <c r="BH46" i="8"/>
  <c r="BH39" i="8"/>
  <c r="BH47" i="8"/>
  <c r="BH42" i="8"/>
  <c r="BH34" i="8"/>
  <c r="BH52" i="8"/>
  <c r="BH33" i="8"/>
  <c r="BH35" i="8"/>
  <c r="BH37" i="8"/>
  <c r="BH36" i="8"/>
  <c r="BH24" i="8"/>
  <c r="BH30" i="8"/>
  <c r="BH32" i="8"/>
  <c r="BH38" i="8"/>
  <c r="BH28" i="8"/>
  <c r="BH41" i="8"/>
  <c r="BH40" i="8"/>
  <c r="BH31" i="8"/>
  <c r="BH29" i="8"/>
  <c r="BH45" i="8"/>
  <c r="BH43" i="8"/>
  <c r="BH25" i="8"/>
  <c r="BH23" i="8"/>
  <c r="BH21" i="8"/>
  <c r="BI16" i="8"/>
  <c r="BI66" i="8" s="1"/>
  <c r="BH26" i="8"/>
  <c r="BH22" i="8"/>
  <c r="BH27" i="8"/>
  <c r="BI17" i="8"/>
  <c r="C53" i="2" l="1"/>
  <c r="BI55" i="1"/>
  <c r="BI54" i="1"/>
  <c r="BI60" i="1"/>
  <c r="BI50" i="1"/>
  <c r="BI49" i="1"/>
  <c r="BI42" i="1"/>
  <c r="BI41" i="1"/>
  <c r="BI59" i="1"/>
  <c r="BI48" i="1"/>
  <c r="BI46" i="1"/>
  <c r="BI58" i="1"/>
  <c r="BI45" i="1"/>
  <c r="BI57" i="1"/>
  <c r="BI39" i="1"/>
  <c r="BI40" i="1"/>
  <c r="BI44" i="1"/>
  <c r="BI37" i="1"/>
  <c r="BI36" i="1"/>
  <c r="BI52" i="1"/>
  <c r="BI35" i="1"/>
  <c r="BI53" i="1"/>
  <c r="BI34" i="1"/>
  <c r="BI31" i="1"/>
  <c r="BI29" i="1"/>
  <c r="BI21" i="1"/>
  <c r="BI25" i="1"/>
  <c r="BI22" i="1"/>
  <c r="BJ16" i="1"/>
  <c r="BI33" i="1"/>
  <c r="BI27" i="1"/>
  <c r="BI26" i="1"/>
  <c r="BI47" i="1"/>
  <c r="BI30" i="1"/>
  <c r="BI23" i="1"/>
  <c r="BJ17" i="1"/>
  <c r="BH62" i="8"/>
  <c r="BH67" i="8" s="1"/>
  <c r="BH69" i="8" s="1"/>
  <c r="BH62" i="1"/>
  <c r="BH67" i="1" s="1"/>
  <c r="E52" i="2" s="1"/>
  <c r="B53" i="2"/>
  <c r="BI66" i="1"/>
  <c r="BI60" i="8"/>
  <c r="BI59" i="8"/>
  <c r="BI58" i="8"/>
  <c r="BI55" i="8"/>
  <c r="BI54" i="8"/>
  <c r="BI57" i="8"/>
  <c r="BI53" i="8"/>
  <c r="BI52" i="8"/>
  <c r="BI51" i="8"/>
  <c r="BI43" i="8"/>
  <c r="BI42" i="8"/>
  <c r="BI48" i="8"/>
  <c r="BI56" i="8"/>
  <c r="BI47" i="8"/>
  <c r="BI44" i="8"/>
  <c r="BI45" i="8"/>
  <c r="BI41" i="8"/>
  <c r="BI50" i="8"/>
  <c r="BI38" i="8"/>
  <c r="BI37" i="8"/>
  <c r="BI31" i="8"/>
  <c r="BI30" i="8"/>
  <c r="BI39" i="8"/>
  <c r="BI33" i="8"/>
  <c r="BI35" i="8"/>
  <c r="BI32" i="8"/>
  <c r="BI46" i="8"/>
  <c r="BI40" i="8"/>
  <c r="BI49" i="8"/>
  <c r="BI28" i="8"/>
  <c r="BJ16" i="8"/>
  <c r="BJ66" i="8" s="1"/>
  <c r="BI29" i="8"/>
  <c r="BI23" i="8"/>
  <c r="BI22" i="8"/>
  <c r="BI21" i="8"/>
  <c r="BI36" i="8"/>
  <c r="BI34" i="8"/>
  <c r="BI26" i="8"/>
  <c r="BI25" i="8"/>
  <c r="BI27" i="8"/>
  <c r="BI24" i="8"/>
  <c r="BJ17" i="8"/>
  <c r="B54" i="2" l="1"/>
  <c r="BJ66" i="1"/>
  <c r="BJ55" i="1"/>
  <c r="BJ54" i="1"/>
  <c r="C54" i="2"/>
  <c r="BJ53" i="1"/>
  <c r="BJ60" i="1"/>
  <c r="BJ50" i="1"/>
  <c r="BJ49" i="1"/>
  <c r="BJ59" i="1"/>
  <c r="BJ58" i="1"/>
  <c r="BJ40" i="1"/>
  <c r="BJ48" i="1"/>
  <c r="BJ45" i="1"/>
  <c r="BJ52" i="1"/>
  <c r="BJ47" i="1"/>
  <c r="BJ44" i="1"/>
  <c r="BJ39" i="1"/>
  <c r="BJ42" i="1"/>
  <c r="BJ57" i="1"/>
  <c r="BJ37" i="1"/>
  <c r="BJ36" i="1"/>
  <c r="BJ46" i="1"/>
  <c r="BJ35" i="1"/>
  <c r="BJ41" i="1"/>
  <c r="BJ34" i="1"/>
  <c r="BJ31" i="1"/>
  <c r="BJ29" i="1"/>
  <c r="BJ33" i="1"/>
  <c r="BJ27" i="1"/>
  <c r="BJ26" i="1"/>
  <c r="BJ25" i="1"/>
  <c r="BJ30" i="1"/>
  <c r="BJ23" i="1"/>
  <c r="BJ22" i="1"/>
  <c r="BJ21" i="1"/>
  <c r="BK16" i="1"/>
  <c r="BK17" i="1"/>
  <c r="BI62" i="1"/>
  <c r="BI67" i="1" s="1"/>
  <c r="E53" i="2" s="1"/>
  <c r="BI62" i="8"/>
  <c r="BI67" i="8" s="1"/>
  <c r="BI69" i="8" s="1"/>
  <c r="BJ60" i="8"/>
  <c r="BJ59" i="8"/>
  <c r="BJ58" i="8"/>
  <c r="BJ55" i="8"/>
  <c r="BJ54" i="8"/>
  <c r="BJ57" i="8"/>
  <c r="BJ53" i="8"/>
  <c r="BJ56" i="8"/>
  <c r="BJ52" i="8"/>
  <c r="BJ47" i="8"/>
  <c r="BJ46" i="8"/>
  <c r="BJ48" i="8"/>
  <c r="BJ49" i="8"/>
  <c r="BJ40" i="8"/>
  <c r="BJ50" i="8"/>
  <c r="BJ43" i="8"/>
  <c r="BJ45" i="8"/>
  <c r="BJ37" i="8"/>
  <c r="BJ36" i="8"/>
  <c r="BJ29" i="8"/>
  <c r="BJ51" i="8"/>
  <c r="BJ44" i="8"/>
  <c r="BJ35" i="8"/>
  <c r="BJ32" i="8"/>
  <c r="BJ41" i="8"/>
  <c r="BJ33" i="8"/>
  <c r="BJ30" i="8"/>
  <c r="BJ28" i="8"/>
  <c r="BJ42" i="8"/>
  <c r="BJ38" i="8"/>
  <c r="BK17" i="8"/>
  <c r="BJ31" i="8"/>
  <c r="BJ27" i="8"/>
  <c r="BJ26" i="8"/>
  <c r="BJ39" i="8"/>
  <c r="BJ34" i="8"/>
  <c r="BJ25" i="8"/>
  <c r="BJ22" i="8"/>
  <c r="BJ24" i="8"/>
  <c r="BJ23" i="8"/>
  <c r="BJ21" i="8"/>
  <c r="BK16" i="8"/>
  <c r="BK53" i="1" l="1"/>
  <c r="O53" i="1" s="1"/>
  <c r="BK52" i="1"/>
  <c r="O52" i="1" s="1"/>
  <c r="C55" i="2"/>
  <c r="BK60" i="1"/>
  <c r="O60" i="1" s="1"/>
  <c r="BK59" i="1"/>
  <c r="BK58" i="1"/>
  <c r="O58" i="1" s="1"/>
  <c r="BK48" i="1"/>
  <c r="O48" i="1" s="1"/>
  <c r="BK57" i="1"/>
  <c r="O57" i="1" s="1"/>
  <c r="BK49" i="1"/>
  <c r="O49" i="1" s="1"/>
  <c r="BK46" i="1"/>
  <c r="O46" i="1" s="1"/>
  <c r="BK47" i="1"/>
  <c r="O47" i="1" s="1"/>
  <c r="BK44" i="1"/>
  <c r="O44" i="1" s="1"/>
  <c r="BK42" i="1"/>
  <c r="BK54" i="1"/>
  <c r="O54" i="1" s="1"/>
  <c r="BK40" i="1"/>
  <c r="O40" i="1" s="1"/>
  <c r="BK37" i="1"/>
  <c r="BK36" i="1"/>
  <c r="O36" i="1" s="1"/>
  <c r="BK55" i="1"/>
  <c r="BK35" i="1"/>
  <c r="O35" i="1" s="1"/>
  <c r="BK41" i="1"/>
  <c r="O41" i="1" s="1"/>
  <c r="BK34" i="1"/>
  <c r="O34" i="1" s="1"/>
  <c r="BK45" i="1"/>
  <c r="O45" i="1" s="1"/>
  <c r="BK33" i="1"/>
  <c r="O33" i="1" s="1"/>
  <c r="BK39" i="1"/>
  <c r="O39" i="1" s="1"/>
  <c r="BK50" i="1"/>
  <c r="BK29" i="1"/>
  <c r="O29" i="1" s="1"/>
  <c r="BK27" i="1"/>
  <c r="BK26" i="1"/>
  <c r="O26" i="1" s="1"/>
  <c r="BK25" i="1"/>
  <c r="O25" i="1" s="1"/>
  <c r="BK23" i="1"/>
  <c r="BK22" i="1"/>
  <c r="BK31" i="1"/>
  <c r="BK30" i="1"/>
  <c r="O30" i="1" s="1"/>
  <c r="BK21" i="1"/>
  <c r="B4" i="2"/>
  <c r="B55" i="2"/>
  <c r="BK66" i="1"/>
  <c r="BJ62" i="1"/>
  <c r="BJ67" i="1" s="1"/>
  <c r="E54" i="2" s="1"/>
  <c r="BK66" i="8"/>
  <c r="BK60" i="8"/>
  <c r="O60" i="8" s="1"/>
  <c r="BK59" i="8"/>
  <c r="BK58" i="8"/>
  <c r="O58" i="8" s="1"/>
  <c r="BK57" i="8"/>
  <c r="O57" i="8" s="1"/>
  <c r="BK53" i="8"/>
  <c r="O53" i="8" s="1"/>
  <c r="BK56" i="8"/>
  <c r="BK52" i="8"/>
  <c r="O52" i="8" s="1"/>
  <c r="BK51" i="8"/>
  <c r="BK50" i="8"/>
  <c r="BK49" i="8"/>
  <c r="O49" i="8" s="1"/>
  <c r="BK46" i="8"/>
  <c r="O46" i="8" s="1"/>
  <c r="BK45" i="8"/>
  <c r="O45" i="8" s="1"/>
  <c r="BK41" i="8"/>
  <c r="O41" i="8" s="1"/>
  <c r="BK42" i="8"/>
  <c r="BK39" i="8"/>
  <c r="O39" i="8" s="1"/>
  <c r="BK54" i="8"/>
  <c r="O54" i="8" s="1"/>
  <c r="BK47" i="8"/>
  <c r="O47" i="8" s="1"/>
  <c r="BK43" i="8"/>
  <c r="BK44" i="8"/>
  <c r="O44" i="8" s="1"/>
  <c r="BK48" i="8"/>
  <c r="O48" i="8" s="1"/>
  <c r="BK37" i="8"/>
  <c r="BK36" i="8"/>
  <c r="O36" i="8" s="1"/>
  <c r="BK38" i="8"/>
  <c r="BK34" i="8"/>
  <c r="O34" i="8" s="1"/>
  <c r="BK40" i="8"/>
  <c r="O40" i="8" s="1"/>
  <c r="BK28" i="8"/>
  <c r="BK55" i="8"/>
  <c r="BK32" i="8"/>
  <c r="BK23" i="8"/>
  <c r="BK22" i="8"/>
  <c r="BK21" i="8"/>
  <c r="BK31" i="8"/>
  <c r="BK29" i="8"/>
  <c r="O29" i="8" s="1"/>
  <c r="BK27" i="8"/>
  <c r="BK26" i="8"/>
  <c r="O26" i="8" s="1"/>
  <c r="BK25" i="8"/>
  <c r="O25" i="8" s="1"/>
  <c r="BK33" i="8"/>
  <c r="O33" i="8" s="1"/>
  <c r="BK30" i="8"/>
  <c r="O30" i="8" s="1"/>
  <c r="BK35" i="8"/>
  <c r="O35" i="8" s="1"/>
  <c r="BK24" i="8"/>
  <c r="BJ62" i="8"/>
  <c r="BJ67" i="8" s="1"/>
  <c r="BJ69" i="8" s="1"/>
  <c r="BK62" i="1" l="1"/>
  <c r="O21" i="1"/>
  <c r="O62" i="1" s="1"/>
  <c r="O6" i="2" s="1"/>
  <c r="BK62" i="8"/>
  <c r="BK67" i="8" s="1"/>
  <c r="BK69" i="8" s="1"/>
  <c r="O21" i="8"/>
  <c r="O62" i="8" s="1"/>
  <c r="BK67" i="1" l="1"/>
  <c r="E55" i="2" s="1"/>
  <c r="O5" i="2"/>
</calcChain>
</file>

<file path=xl/sharedStrings.xml><?xml version="1.0" encoding="utf-8"?>
<sst xmlns="http://schemas.openxmlformats.org/spreadsheetml/2006/main" count="503" uniqueCount="308">
  <si>
    <t>Project Name</t>
  </si>
  <si>
    <t>Auto Bandwidth on Demand</t>
  </si>
  <si>
    <t>Client</t>
  </si>
  <si>
    <t xml:space="preserve"> PT Aplikanusa Lintasarta</t>
  </si>
  <si>
    <t>Project Manager</t>
  </si>
  <si>
    <t xml:space="preserve"> Lesy Nugraheny</t>
  </si>
  <si>
    <t>Project Due Date</t>
  </si>
  <si>
    <t>PO Due Date</t>
  </si>
  <si>
    <t>W1 Project Date</t>
  </si>
  <si>
    <t>Project Status Date</t>
  </si>
  <si>
    <t>Target Linear</t>
  </si>
  <si>
    <t>Progress</t>
  </si>
  <si>
    <t>Deviation</t>
  </si>
  <si>
    <t>No</t>
  </si>
  <si>
    <t>Task</t>
  </si>
  <si>
    <t>Bobot</t>
  </si>
  <si>
    <t>Start Date</t>
  </si>
  <si>
    <t>Finish Date</t>
  </si>
  <si>
    <t>Σ Minggu</t>
  </si>
  <si>
    <t>Duration</t>
  </si>
  <si>
    <t>Linear Target</t>
  </si>
  <si>
    <t>Actual Progress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</si>
  <si>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</si>
  <si>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</si>
  <si>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</si>
  <si>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</si>
  <si>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</si>
  <si>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</si>
  <si>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</si>
  <si>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</si>
  <si>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</si>
  <si>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</si>
  <si>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</si>
  <si>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</si>
  <si>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</si>
  <si>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</si>
  <si>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</si>
  <si>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</si>
  <si>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</si>
  <si>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</si>
  <si>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</si>
  <si>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</si>
  <si>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</si>
  <si>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</si>
  <si>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</si>
  <si>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</si>
  <si>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</si>
  <si>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</si>
  <si>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</si>
  <si>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</si>
  <si>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</si>
  <si>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</si>
  <si>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</si>
  <si>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</si>
  <si>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</si>
  <si>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</si>
  <si>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</si>
  <si>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</si>
  <si>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</si>
  <si>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</si>
  <si>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</si>
  <si>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</si>
  <si>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</si>
  <si>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</si>
  <si>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</si>
  <si>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</si>
  <si>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</si>
  <si>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</si>
  <si>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</si>
  <si>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</si>
  <si>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Weight (%)</t>
  </si>
  <si>
    <t>%</t>
  </si>
  <si>
    <t>I</t>
  </si>
  <si>
    <t>INITIATION &amp; PLANNING</t>
  </si>
  <si>
    <t>Kick Off Meeting</t>
  </si>
  <si>
    <t>II</t>
  </si>
  <si>
    <t>PREPARATION</t>
  </si>
  <si>
    <t>Sync Repo with the Staging Repo</t>
  </si>
  <si>
    <t>Environment Setup for BOWD</t>
  </si>
  <si>
    <t>III</t>
  </si>
  <si>
    <t>REQUIREMENT</t>
  </si>
  <si>
    <t>Requirement</t>
  </si>
  <si>
    <t>Requirement Finalize</t>
  </si>
  <si>
    <t>IV</t>
  </si>
  <si>
    <t>ANALYSIS &amp; DESIGN</t>
  </si>
  <si>
    <t>Analisa</t>
  </si>
  <si>
    <t>Technical Design</t>
  </si>
  <si>
    <t>Design Review &amp; Fix</t>
  </si>
  <si>
    <t>Design Sign off</t>
  </si>
  <si>
    <t>V</t>
  </si>
  <si>
    <t>DEVELOPMENT</t>
  </si>
  <si>
    <t>Core Feature Development</t>
  </si>
  <si>
    <t>Integration (Guci &amp; Ossera)</t>
  </si>
  <si>
    <t>Bug Fixing Cycle</t>
  </si>
  <si>
    <t>VI</t>
  </si>
  <si>
    <t>TESTING</t>
  </si>
  <si>
    <t>Internal Testing</t>
  </si>
  <si>
    <t>SIT</t>
  </si>
  <si>
    <t>SIT Fixing</t>
  </si>
  <si>
    <t>UAT</t>
  </si>
  <si>
    <t>UAT Sign Off</t>
  </si>
  <si>
    <t>VII</t>
  </si>
  <si>
    <t>SAST DAST</t>
  </si>
  <si>
    <t>Fixing SAST DAST</t>
  </si>
  <si>
    <t>SAST DAST Re-Test</t>
  </si>
  <si>
    <t>VIII</t>
  </si>
  <si>
    <t>DEPLOY</t>
  </si>
  <si>
    <t>Deploy Preparation</t>
  </si>
  <si>
    <t>Deployment</t>
  </si>
  <si>
    <t>IX</t>
  </si>
  <si>
    <t>Go Live</t>
  </si>
  <si>
    <t>TOTAL</t>
  </si>
  <si>
    <t>Target (%)</t>
  </si>
  <si>
    <t>Actual (%)</t>
  </si>
  <si>
    <t>Date</t>
  </si>
  <si>
    <t>Target Linear (%)</t>
  </si>
  <si>
    <t>Cummulative Actual (%)</t>
  </si>
  <si>
    <t>GAP</t>
  </si>
  <si>
    <t xml:space="preserve"> Target Linear (%)</t>
  </si>
  <si>
    <t>Cumulative Actual (%)</t>
  </si>
  <si>
    <t>Log Mingguan – Auto Bandwidth on Demand</t>
  </si>
  <si>
    <t>Cara pakai: (1) update % progress task di sheet SCurve kolom K dan Status Date di SCurve!C8; (2) di akhir minggu, copy nilai SCurve!C11 (Actual live) lalu Paste Special &gt; Values ke kolom 'Actual Kumulatif' baris minggu tsb. Sel bertulisan biru = input.</t>
  </si>
  <si>
    <t>Status date</t>
  </si>
  <si>
    <t>Minggu berjalan</t>
  </si>
  <si>
    <t>Target (live)</t>
  </si>
  <si>
    <t>Actual (live)</t>
  </si>
  <si>
    <t>Deviasi (pp)</t>
  </si>
  <si>
    <t>SPI</t>
  </si>
  <si>
    <t>RAG</t>
  </si>
  <si>
    <t>Ambang Hijau (SPI ≥)</t>
  </si>
  <si>
    <t>Ambang Kuning (SPI ≥)</t>
  </si>
  <si>
    <t>Kontrol model</t>
  </si>
  <si>
    <t>Status</t>
  </si>
  <si>
    <t>Total bobot = 100%</t>
  </si>
  <si>
    <t>Asumsi: ambang RAG bawaan saya (bukan dari Anda/klien) – sesuaikan dengan kebijakan PMO.</t>
  </si>
  <si>
    <t>Σ rencana mingguan = 100%</t>
  </si>
  <si>
    <t>Σ per-task = bobot task</t>
  </si>
  <si>
    <t>Week</t>
  </si>
  <si>
    <t>Mulai</t>
  </si>
  <si>
    <t>Akhir</t>
  </si>
  <si>
    <t>Actual Kumulatif</t>
  </si>
  <si>
    <t>Target Kumulatif</t>
  </si>
  <si>
    <t>Catatan / highlight minggu ini</t>
  </si>
  <si>
    <t>Snapshot status 14 Mei 2026 = SCurve!L62 (5,5%). Di file lama tampil 6% karena ROUNDUP. Nilai ini diketik manual (hardcode) sebagai contoh isian.</t>
  </si>
  <si>
    <t>Catatan Perbaikan v2</t>
  </si>
  <si>
    <t>#</t>
  </si>
  <si>
    <t>Perbaikan</t>
  </si>
  <si>
    <t>Lokasi</t>
  </si>
  <si>
    <t>Sebelum → Sesudah</t>
  </si>
  <si>
    <t>Hapus ROUNDUP pada angka inti</t>
  </si>
  <si>
    <t>SCurve!B11, C11, C62, J62, L62, M62, O62, P62</t>
  </si>
  <si>
    <t>Target W1 6,00% → 5,14%; actual 6% → 5,5%; deviasi 0 → +0,4 pp</t>
  </si>
  <si>
    <t>Baris TOTAL hanya menjumlah baris task; Go Live (baris 60) kini ikut</t>
  </si>
  <si>
    <t>SCurve!P62:BK62</t>
  </si>
  <si>
    <t>Target kumulatif berhenti 99,78% → 100%</t>
  </si>
  <si>
    <t>Satu kalender libur (named range Hari_Libur = Libur!A2:A200) dipakai di semua formula</t>
  </si>
  <si>
    <t>SCurve kolom H, I, dan P:BK (task)</t>
  </si>
  <si>
    <t>Sebelumnya A2:A38 (mingguan), A2:A56 (durasi), tanpa libur (kolom I)</t>
  </si>
  <si>
    <t>Subtotal fase PREPARATION menunjuk baris yang benar</t>
  </si>
  <si>
    <t>SCurve!J24:M24</t>
  </si>
  <si>
    <t>Sebelumnya merujuk baris 28 &amp; 32</t>
  </si>
  <si>
    <t>% progress fase = bobot-tertimbang (L ÷ C); Linear Target fase = J ÷ C</t>
  </si>
  <si>
    <t>SCurve kolom I, K baris fase</t>
  </si>
  <si>
    <t>Sebelumnya campuran AVERAGE/SUM (bisa &gt;100%)</t>
  </si>
  <si>
    <t>Formula mingguan pada baris fase dihapus; tanggal fase = MIN/MAX tanggal anak</t>
  </si>
  <si>
    <t>SCurve baris 20,24,28,32,38,43,51,56</t>
  </si>
  <si>
    <t>Mencegah hitung ganda saat jadwal bergeser; fase REQUIREMENT kini mulai 11 Mei</t>
  </si>
  <si>
    <t>Linear Target task: perbaiki off-by-one (status date = hari mulai dihitung)</t>
  </si>
  <si>
    <t>SCurve kolom I</t>
  </si>
  <si>
    <t>Task 1 hari kini dihitung penuh pada tanggal tersebut</t>
  </si>
  <si>
    <t>Sheet Log_Mingguan: histori Actual per minggu, SPI, RAG, kontrol model</t>
  </si>
  <si>
    <t>Sheet Log_Mingguan</t>
  </si>
  <si>
    <t>Baris 68 SCurve kini terhubung ke log; deviasi minggu belum berjalan kosong</t>
  </si>
  <si>
    <t>Chart dibuat ulang (Week 1–20, memakai data log, sel kosong = gap)</t>
  </si>
  <si>
    <t>SCurve (area O73:Y104)</t>
  </si>
  <si>
    <t>Sebelumnya berhenti di Week-16 sehingga Go Live tidak tampil</t>
  </si>
  <si>
    <t>Validasi input 0–100% pada kolom K task; label kolom bantu F/G/N/O; penomoran Go Live = IX; hapus sel nyasar</t>
  </si>
  <si>
    <t>SCurve</t>
  </si>
  <si>
    <t>—</t>
  </si>
  <si>
    <t>Belum diubah (di luar ruang lingkup)</t>
  </si>
  <si>
    <t>Sheet milestone progress (7 sel error referensi putus, data proyek lama – sudah error sejak file asli), Sheet2, Info Mingguan, SCurve D1, tabel GAP SCurve!B74:E111, daftar Libur (ada tanggal 2025 &amp; duplikat 1 Jan 2026)</t>
  </si>
  <si>
    <t>Disarankan dirapikan/dihapus setelah Anda konfirmasi</t>
  </si>
  <si>
    <t>Bobot task, WBS (Documentation/Training/BAST belum ada), P16/P17 (minggu-1 = 8 hari) dan Status Date C8 tetap input manual</t>
  </si>
  <si>
    <t>Perlu keputusan PM/tim</t>
  </si>
  <si>
    <t>Initiation &amp; Analysis</t>
  </si>
  <si>
    <t>Requirement, Analisa &amp; Desain</t>
  </si>
  <si>
    <t>DevOps &amp; CMS Setup</t>
  </si>
  <si>
    <t>Project Implementation</t>
  </si>
  <si>
    <t>Testing &amp; UAT</t>
  </si>
  <si>
    <t>Pentest</t>
  </si>
  <si>
    <t>Training</t>
  </si>
  <si>
    <t>Go Live Preparation</t>
  </si>
  <si>
    <t>Total</t>
  </si>
  <si>
    <t>Task Name</t>
  </si>
  <si>
    <t>Start</t>
  </si>
  <si>
    <t>Finish</t>
  </si>
  <si>
    <t>Initiation &amp; Planning</t>
  </si>
  <si>
    <t xml:space="preserve"> 11/05/2026</t>
  </si>
  <si>
    <t>Preparation</t>
  </si>
  <si>
    <t xml:space="preserve"> 12/05/2026</t>
  </si>
  <si>
    <t xml:space="preserve"> 19/05/2026</t>
  </si>
  <si>
    <t xml:space="preserve"> 26/05/2026</t>
  </si>
  <si>
    <t>Analysis &amp; Design</t>
  </si>
  <si>
    <t xml:space="preserve"> 29/05/2026</t>
  </si>
  <si>
    <t xml:space="preserve"> 11/06/2026</t>
  </si>
  <si>
    <t>Development</t>
  </si>
  <si>
    <t xml:space="preserve"> 12/06/2026</t>
  </si>
  <si>
    <t xml:space="preserve"> 16/07/2026</t>
  </si>
  <si>
    <t xml:space="preserve">   Core Feature development</t>
  </si>
  <si>
    <t xml:space="preserve"> 02/07/2026</t>
  </si>
  <si>
    <t xml:space="preserve">   Integration (Guci &amp; Ossera)</t>
  </si>
  <si>
    <t xml:space="preserve"> 26/06/2026</t>
  </si>
  <si>
    <t xml:space="preserve"> 09/07/2026</t>
  </si>
  <si>
    <t xml:space="preserve">   Bug Fixing &amp; Code Review</t>
  </si>
  <si>
    <t xml:space="preserve"> 10/07/2026</t>
  </si>
  <si>
    <t>Testing</t>
  </si>
  <si>
    <t xml:space="preserve"> 17/07/2026</t>
  </si>
  <si>
    <t xml:space="preserve"> 11/08/2026</t>
  </si>
  <si>
    <t xml:space="preserve"> 13/08/2026</t>
  </si>
  <si>
    <t xml:space="preserve"> 20/08/2026</t>
  </si>
  <si>
    <t>Deploy</t>
  </si>
  <si>
    <t xml:space="preserve"> 21/08/2026</t>
  </si>
  <si>
    <t xml:space="preserve"> 27/08/2026</t>
  </si>
  <si>
    <t xml:space="preserve"> 28/08/2026</t>
  </si>
  <si>
    <t>Documentation</t>
  </si>
  <si>
    <t xml:space="preserve"> 31/08/2026</t>
  </si>
  <si>
    <t>Tanggal Libur</t>
  </si>
  <si>
    <t>Kamis</t>
  </si>
  <si>
    <t>Tahun Baru 2026 Masehi</t>
  </si>
  <si>
    <t>Jumat</t>
  </si>
  <si>
    <t>Isra Mikraj Nabi Muhammad SAW</t>
  </si>
  <si>
    <t>Selasa</t>
  </si>
  <si>
    <t>Tahun Baru Imlek 2577 Kongzili</t>
  </si>
  <si>
    <t>Hari Suci Nyepi Tahun Baru Saka 1948</t>
  </si>
  <si>
    <t>Sabtu</t>
  </si>
  <si>
    <t>Hari Raya Idul Fitri 1447 Hijriah (*)</t>
  </si>
  <si>
    <t>Minggu</t>
  </si>
  <si>
    <t>Wafat Yesus Kristus</t>
  </si>
  <si>
    <t>Kebangkitan Yesus Kristus (Paskah)</t>
  </si>
  <si>
    <t>Hari Buruh Internasional</t>
  </si>
  <si>
    <t>Kenaikan Yesus Kristus</t>
  </si>
  <si>
    <t>Rabu</t>
  </si>
  <si>
    <t>Hari Raya Idul Adha 1447 Hijriah (*)</t>
  </si>
  <si>
    <t>Hari Raya Waisak 2570 BE</t>
  </si>
  <si>
    <t>Senin</t>
  </si>
  <si>
    <t>Hari Lahir Pancasila</t>
  </si>
  <si>
    <t>Tahun Baru Islam 1448 Hijriah (*)</t>
  </si>
  <si>
    <t>Hari Proklamasi Kemerdekaan Republik Indonesia</t>
  </si>
  <si>
    <t>Maulid Nabi Muhammad SAW</t>
  </si>
  <si>
    <t>Hari Raya Natal / Kelahiran Yesus Kristus</t>
  </si>
  <si>
    <t>Hari Raya Natal</t>
  </si>
  <si>
    <t>Minggu Ke</t>
  </si>
  <si>
    <t>Tanggal Awal</t>
  </si>
  <si>
    <t>Tanggal Akhir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</si>
  <si>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</si>
  <si>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</si>
  <si>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</si>
  <si>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</si>
  <si>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</si>
  <si>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</si>
  <si>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</si>
  <si>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</si>
  <si>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</si>
  <si>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</si>
  <si>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</si>
  <si>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</si>
  <si>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</si>
  <si>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</si>
  <si>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</si>
  <si>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</si>
  <si>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</si>
  <si>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</si>
  <si>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</si>
  <si>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</si>
  <si>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</si>
  <si>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</si>
  <si>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</si>
  <si>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</si>
  <si>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</si>
  <si>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</si>
  <si>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</si>
  <si>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</si>
  <si>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</si>
  <si>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</si>
  <si>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</si>
  <si>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</si>
  <si>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</si>
  <si>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</si>
  <si>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</si>
  <si>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</si>
  <si>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</si>
  <si>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</si>
  <si>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</si>
  <si>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</si>
  <si>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</si>
  <si>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</si>
  <si>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</si>
  <si>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</si>
  <si>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</si>
  <si>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</si>
  <si>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</si>
  <si>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</si>
  <si>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</si>
  <si>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</si>
  <si>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</si>
  <si>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</si>
  <si>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Analisa &amp; Design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</si>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</sst>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\-??_);_(@_)"/>
    <numFmt numFmtId="165" formatCode="_-* #,##0_-;\-* #,##0_-;_-* \-??_-;_-@_-"/>
    <numFmt numFmtId="166" formatCode="m/d/yyyy"/>
    <numFmt numFmtId="167" formatCode="[$-421]dd\ mmmm\ yyyy;@"/>
    <numFmt numFmtId="168" formatCode="0.0%"/>
    <numFmt numFmtId="169" formatCode="_-* #,##0.00000_-;\-* #,##0.00000_-;_-* \-??_-;_-@_-"/>
    <numFmt numFmtId="170" formatCode="dd/mm;@"/>
    <numFmt numFmtId="171" formatCode="dd/mm/yyyy;@"/>
    <numFmt numFmtId="172" formatCode="dd/mmm/yyyy;@"/>
    <numFmt numFmtId="173" formatCode="[$-421]dd/mmm;@"/>
    <numFmt numFmtId="174" formatCode="[$-421]dd/mmm/yy;@"/>
    <numFmt numFmtId="175" formatCode="0.000;\-0.000;;@"/>
    <numFmt numFmtId="176" formatCode="_-* #,##0.00_-;\-* #,##0.00_-;_-* \-??_-;_-@_-"/>
    <numFmt numFmtId="177" formatCode="dd/mm/yy;@"/>
    <numFmt numFmtId="178" formatCode="dd/mmm/yyyy"/>
    <numFmt numFmtId="179" formatCode="dd/mmm/yy"/>
    <numFmt numFmtId="180" formatCode="yyyy\-mm\-dd"/>
  </numFmts>
  <fonts count="31" x14ac:knownFonts="1">
    <font>
      <sz val="11"/>
      <color theme="1"/>
      <name val="Aptos Narrow"/>
      <family val="2"/>
      <charset val="1"/>
    </font>
    <font>
      <sz val="12"/>
      <color theme="1"/>
      <name val="Avenir Next LT Pro"/>
      <family val="2"/>
      <charset val="1"/>
    </font>
    <font>
      <sz val="11"/>
      <color theme="1"/>
      <name val="Avenir Next LT Pro"/>
      <family val="2"/>
      <charset val="1"/>
    </font>
    <font>
      <b/>
      <sz val="12"/>
      <color theme="1"/>
      <name val="Avenir Next LT Pro"/>
      <family val="2"/>
      <charset val="1"/>
    </font>
    <font>
      <b/>
      <sz val="12"/>
      <color theme="0"/>
      <name val="Avenir Next LT Pro"/>
      <family val="2"/>
      <charset val="1"/>
    </font>
    <font>
      <b/>
      <sz val="11"/>
      <color theme="1"/>
      <name val="Avenir Next LT Pro"/>
      <family val="2"/>
      <charset val="1"/>
    </font>
    <font>
      <sz val="11"/>
      <name val="Avenir Next LT Pro"/>
      <family val="2"/>
      <charset val="1"/>
    </font>
    <font>
      <sz val="12"/>
      <name val="Avenir Next LT Pro"/>
      <family val="2"/>
      <charset val="1"/>
    </font>
    <font>
      <sz val="10"/>
      <color theme="1"/>
      <name val="Avenir Next LT Pro"/>
      <family val="2"/>
      <charset val="1"/>
    </font>
    <font>
      <b/>
      <sz val="9"/>
      <color theme="1"/>
      <name val="Avenir Next LT Pro"/>
      <family val="2"/>
      <charset val="1"/>
    </font>
    <font>
      <sz val="9"/>
      <color theme="1"/>
      <name val="Avenir Next LT Pro"/>
      <family val="2"/>
      <charset val="1"/>
    </font>
    <font>
      <sz val="8"/>
      <color theme="1"/>
      <name val="Avenir Next LT Pro"/>
      <family val="2"/>
      <charset val="1"/>
    </font>
    <font>
      <b/>
      <sz val="16"/>
      <color rgb="FF1F3864"/>
      <name val="Avenir Next LT Pro"/>
      <charset val="1"/>
    </font>
    <font>
      <sz val="10"/>
      <color rgb="FF595959"/>
      <name val="Avenir Next LT Pro"/>
      <charset val="1"/>
    </font>
    <font>
      <b/>
      <sz val="10"/>
      <color rgb="FFFFFFFF"/>
      <name val="Avenir Next LT Pro"/>
      <charset val="1"/>
    </font>
    <font>
      <b/>
      <sz val="11"/>
      <color rgb="FF000000"/>
      <name val="Avenir Next LT Pro"/>
      <charset val="1"/>
    </font>
    <font>
      <b/>
      <sz val="11"/>
      <color rgb="FF0000FF"/>
      <name val="Avenir Next LT Pro"/>
      <charset val="1"/>
    </font>
    <font>
      <sz val="10"/>
      <color rgb="FF000000"/>
      <name val="Avenir Next LT Pro"/>
      <charset val="1"/>
    </font>
    <font>
      <sz val="9"/>
      <color rgb="FF7F7F7F"/>
      <name val="Avenir Next LT Pro"/>
      <charset val="1"/>
    </font>
    <font>
      <b/>
      <sz val="11"/>
      <color rgb="FFFFFFFF"/>
      <name val="Avenir Next LT Pro"/>
      <charset val="1"/>
    </font>
    <font>
      <sz val="11"/>
      <color rgb="FF000000"/>
      <name val="Avenir Next LT Pro"/>
      <charset val="1"/>
    </font>
    <font>
      <sz val="11"/>
      <color rgb="FF0000FF"/>
      <name val="Avenir Next LT Pro"/>
      <charset val="1"/>
    </font>
    <font>
      <sz val="10"/>
      <color rgb="FF0000FF"/>
      <name val="Avenir Next LT Pro"/>
      <charset val="1"/>
    </font>
    <font>
      <b/>
      <sz val="11"/>
      <color theme="1"/>
      <name val="Aptos Narrow"/>
      <family val="2"/>
      <charset val="1"/>
    </font>
    <font>
      <b/>
      <sz val="18"/>
      <color theme="1"/>
      <name val="Aptos Narrow"/>
      <family val="2"/>
      <charset val="1"/>
    </font>
    <font>
      <sz val="9"/>
      <color rgb="FF363636"/>
      <name val="Segoe UI"/>
      <family val="2"/>
      <charset val="1"/>
    </font>
    <font>
      <b/>
      <sz val="11"/>
      <color rgb="FF000000"/>
      <name val="Bahnschrift SemiCondensed"/>
      <family val="2"/>
      <charset val="1"/>
    </font>
    <font>
      <sz val="11"/>
      <color rgb="FF000000"/>
      <name val="Bahnschrift SemiCondensed"/>
      <family val="2"/>
      <charset val="1"/>
    </font>
    <font>
      <sz val="11"/>
      <color theme="1"/>
      <name val="Aptos Slab"/>
      <family val="2"/>
      <charset val="1"/>
    </font>
    <font>
      <b/>
      <sz val="11"/>
      <color theme="1"/>
      <name val="Aptos Slab"/>
      <family val="2"/>
      <charset val="1"/>
    </font>
    <font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4EA72E"/>
      </patternFill>
    </fill>
    <fill>
      <patternFill patternType="solid">
        <fgColor theme="5" tint="-0.249977111117893"/>
        <bgColor rgb="FFE97132"/>
      </patternFill>
    </fill>
    <fill>
      <patternFill patternType="solid">
        <fgColor theme="4"/>
        <bgColor rgb="FF0066CC"/>
      </patternFill>
    </fill>
    <fill>
      <patternFill patternType="solid">
        <fgColor rgb="FF1F3864"/>
        <bgColor rgb="FF363636"/>
      </patternFill>
    </fill>
    <fill>
      <patternFill patternType="solid">
        <fgColor rgb="FFDFE3E8"/>
        <bgColor rgb="FFDDEBF7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4">
    <xf numFmtId="0" fontId="0" fillId="0" borderId="0"/>
    <xf numFmtId="164" fontId="30" fillId="0" borderId="0"/>
    <xf numFmtId="9" fontId="30" fillId="0" borderId="0"/>
    <xf numFmtId="164" fontId="30" fillId="0" borderId="0"/>
  </cellStyleXfs>
  <cellXfs count="123">
    <xf numFmtId="0" fontId="0" fillId="0" borderId="0" xfId="0"/>
    <xf numFmtId="0" fontId="13" fillId="0" borderId="0" xfId="0" applyFont="1" applyBorder="1" applyAlignment="1">
      <alignment vertical="top" wrapText="1"/>
    </xf>
    <xf numFmtId="172" fontId="3" fillId="0" borderId="0" xfId="0" applyNumberFormat="1" applyFont="1" applyBorder="1" applyAlignment="1">
      <alignment horizontal="center" vertical="center" wrapText="1"/>
    </xf>
    <xf numFmtId="167" fontId="1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1" fillId="0" borderId="0" xfId="0" applyFont="1"/>
    <xf numFmtId="165" fontId="1" fillId="0" borderId="0" xfId="1" applyNumberFormat="1" applyFont="1"/>
    <xf numFmtId="9" fontId="1" fillId="0" borderId="0" xfId="2" applyFont="1"/>
    <xf numFmtId="0" fontId="2" fillId="0" borderId="0" xfId="0" applyFont="1"/>
    <xf numFmtId="0" fontId="3" fillId="0" borderId="0" xfId="0" applyFont="1"/>
    <xf numFmtId="166" fontId="1" fillId="0" borderId="0" xfId="0" applyNumberFormat="1" applyFont="1"/>
    <xf numFmtId="167" fontId="1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/>
    </xf>
    <xf numFmtId="168" fontId="4" fillId="2" borderId="1" xfId="2" applyNumberFormat="1" applyFont="1" applyFill="1" applyBorder="1"/>
    <xf numFmtId="168" fontId="4" fillId="3" borderId="1" xfId="2" applyNumberFormat="1" applyFont="1" applyFill="1" applyBorder="1"/>
    <xf numFmtId="168" fontId="4" fillId="4" borderId="1" xfId="2" applyNumberFormat="1" applyFont="1" applyFill="1" applyBorder="1"/>
    <xf numFmtId="169" fontId="1" fillId="0" borderId="0" xfId="1" applyNumberFormat="1" applyFont="1"/>
    <xf numFmtId="170" fontId="1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166" fontId="2" fillId="0" borderId="0" xfId="0" applyNumberFormat="1" applyFont="1"/>
    <xf numFmtId="170" fontId="2" fillId="0" borderId="0" xfId="0" applyNumberFormat="1" applyFont="1"/>
    <xf numFmtId="171" fontId="1" fillId="0" borderId="0" xfId="0" applyNumberFormat="1" applyFont="1"/>
    <xf numFmtId="171" fontId="3" fillId="0" borderId="0" xfId="0" applyNumberFormat="1" applyFont="1"/>
    <xf numFmtId="171" fontId="3" fillId="0" borderId="0" xfId="1" applyNumberFormat="1" applyFont="1"/>
    <xf numFmtId="171" fontId="3" fillId="0" borderId="0" xfId="2" applyNumberFormat="1" applyFont="1"/>
    <xf numFmtId="171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0" xfId="2" applyFont="1" applyAlignment="1">
      <alignment horizontal="center" vertical="center" wrapText="1"/>
    </xf>
    <xf numFmtId="0" fontId="3" fillId="0" borderId="0" xfId="2" applyNumberFormat="1" applyFont="1" applyAlignment="1">
      <alignment horizontal="center"/>
    </xf>
    <xf numFmtId="173" fontId="5" fillId="0" borderId="0" xfId="0" applyNumberFormat="1" applyFont="1" applyAlignment="1">
      <alignment horizontal="center" vertical="center"/>
    </xf>
    <xf numFmtId="17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left"/>
    </xf>
    <xf numFmtId="174" fontId="3" fillId="0" borderId="0" xfId="0" applyNumberFormat="1" applyFont="1" applyAlignment="1">
      <alignment horizontal="right"/>
    </xf>
    <xf numFmtId="174" fontId="3" fillId="0" borderId="0" xfId="0" applyNumberFormat="1" applyFont="1" applyAlignment="1">
      <alignment horizontal="left"/>
    </xf>
    <xf numFmtId="165" fontId="3" fillId="0" borderId="0" xfId="1" applyNumberFormat="1" applyFont="1" applyAlignment="1">
      <alignment horizontal="right"/>
    </xf>
    <xf numFmtId="168" fontId="3" fillId="0" borderId="0" xfId="2" applyNumberFormat="1" applyFont="1" applyAlignment="1">
      <alignment horizontal="right"/>
    </xf>
    <xf numFmtId="9" fontId="3" fillId="0" borderId="0" xfId="2" applyFont="1" applyAlignment="1">
      <alignment horizontal="left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indent="1"/>
    </xf>
    <xf numFmtId="174" fontId="1" fillId="0" borderId="0" xfId="0" applyNumberFormat="1" applyFont="1"/>
    <xf numFmtId="9" fontId="1" fillId="0" borderId="0" xfId="2" applyFont="1" applyAlignment="1">
      <alignment horizontal="right"/>
    </xf>
    <xf numFmtId="165" fontId="1" fillId="0" borderId="0" xfId="1" applyNumberFormat="1" applyFont="1" applyAlignment="1">
      <alignment horizontal="right"/>
    </xf>
    <xf numFmtId="168" fontId="1" fillId="0" borderId="0" xfId="2" applyNumberFormat="1" applyFont="1" applyAlignment="1">
      <alignment horizontal="right"/>
    </xf>
    <xf numFmtId="2" fontId="1" fillId="0" borderId="0" xfId="2" applyNumberFormat="1" applyFont="1" applyAlignment="1">
      <alignment horizontal="right"/>
    </xf>
    <xf numFmtId="2" fontId="1" fillId="0" borderId="0" xfId="0" applyNumberFormat="1" applyFont="1"/>
    <xf numFmtId="175" fontId="6" fillId="0" borderId="0" xfId="0" applyNumberFormat="1" applyFont="1"/>
    <xf numFmtId="9" fontId="3" fillId="0" borderId="0" xfId="2" applyFont="1" applyAlignment="1">
      <alignment horizontal="right"/>
    </xf>
    <xf numFmtId="0" fontId="1" fillId="0" borderId="0" xfId="0" applyFont="1" applyAlignment="1">
      <alignment horizontal="left" indent="2"/>
    </xf>
    <xf numFmtId="174" fontId="3" fillId="0" borderId="0" xfId="0" applyNumberFormat="1" applyFont="1"/>
    <xf numFmtId="2" fontId="3" fillId="0" borderId="0" xfId="2" applyNumberFormat="1" applyFont="1" applyAlignment="1">
      <alignment horizontal="right"/>
    </xf>
    <xf numFmtId="2" fontId="3" fillId="0" borderId="0" xfId="0" applyNumberFormat="1" applyFont="1"/>
    <xf numFmtId="10" fontId="1" fillId="0" borderId="0" xfId="0" applyNumberFormat="1" applyFont="1" applyAlignment="1">
      <alignment horizontal="right"/>
    </xf>
    <xf numFmtId="168" fontId="1" fillId="0" borderId="0" xfId="2" applyNumberFormat="1" applyFont="1"/>
    <xf numFmtId="176" fontId="1" fillId="0" borderId="0" xfId="1" applyNumberFormat="1" applyFont="1"/>
    <xf numFmtId="10" fontId="2" fillId="0" borderId="0" xfId="2" applyNumberFormat="1" applyFont="1"/>
    <xf numFmtId="168" fontId="2" fillId="0" borderId="0" xfId="2" applyNumberFormat="1" applyFont="1"/>
    <xf numFmtId="9" fontId="2" fillId="0" borderId="0" xfId="2" applyFont="1"/>
    <xf numFmtId="165" fontId="3" fillId="0" borderId="0" xfId="1" applyNumberFormat="1" applyFont="1"/>
    <xf numFmtId="9" fontId="3" fillId="0" borderId="0" xfId="2" applyFont="1"/>
    <xf numFmtId="177" fontId="5" fillId="0" borderId="0" xfId="0" applyNumberFormat="1" applyFont="1"/>
    <xf numFmtId="10" fontId="3" fillId="0" borderId="0" xfId="0" applyNumberFormat="1" applyFont="1"/>
    <xf numFmtId="10" fontId="0" fillId="0" borderId="0" xfId="0" applyNumberFormat="1" applyFont="1"/>
    <xf numFmtId="0" fontId="8" fillId="0" borderId="0" xfId="0" applyFont="1"/>
    <xf numFmtId="0" fontId="9" fillId="0" borderId="0" xfId="0" applyFont="1"/>
    <xf numFmtId="10" fontId="8" fillId="0" borderId="0" xfId="0" applyNumberFormat="1" applyFont="1"/>
    <xf numFmtId="10" fontId="10" fillId="0" borderId="0" xfId="2" applyNumberFormat="1" applyFont="1"/>
    <xf numFmtId="166" fontId="11" fillId="0" borderId="0" xfId="2" applyNumberFormat="1" applyFont="1"/>
    <xf numFmtId="10" fontId="11" fillId="0" borderId="0" xfId="2" applyNumberFormat="1" applyFont="1"/>
    <xf numFmtId="166" fontId="11" fillId="0" borderId="0" xfId="0" applyNumberFormat="1" applyFont="1"/>
    <xf numFmtId="0" fontId="12" fillId="0" borderId="0" xfId="0" applyFont="1"/>
    <xf numFmtId="0" fontId="14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wrapText="1"/>
    </xf>
    <xf numFmtId="0" fontId="14" fillId="5" borderId="2" xfId="0" applyFont="1" applyFill="1" applyBorder="1" applyAlignment="1">
      <alignment horizontal="center"/>
    </xf>
    <xf numFmtId="178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68" fontId="15" fillId="0" borderId="2" xfId="0" applyNumberFormat="1" applyFont="1" applyBorder="1" applyAlignment="1">
      <alignment horizontal="center"/>
    </xf>
    <xf numFmtId="2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17" fillId="0" borderId="2" xfId="0" applyFont="1" applyBorder="1"/>
    <xf numFmtId="0" fontId="18" fillId="0" borderId="0" xfId="0" applyFont="1"/>
    <xf numFmtId="0" fontId="19" fillId="5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79" fontId="20" fillId="0" borderId="2" xfId="0" applyNumberFormat="1" applyFont="1" applyBorder="1" applyAlignment="1">
      <alignment horizontal="center" vertical="center"/>
    </xf>
    <xf numFmtId="168" fontId="21" fillId="0" borderId="2" xfId="0" applyNumberFormat="1" applyFont="1" applyBorder="1" applyAlignment="1">
      <alignment horizontal="center" vertical="center"/>
    </xf>
    <xf numFmtId="168" fontId="20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19" fillId="5" borderId="2" xfId="0" applyFont="1" applyFill="1" applyBorder="1" applyAlignment="1">
      <alignment vertical="top" wrapText="1"/>
    </xf>
    <xf numFmtId="0" fontId="20" fillId="0" borderId="2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23" fillId="0" borderId="0" xfId="0" applyFont="1"/>
    <xf numFmtId="166" fontId="0" fillId="0" borderId="0" xfId="0" applyNumberFormat="1" applyFont="1"/>
    <xf numFmtId="165" fontId="23" fillId="0" borderId="0" xfId="1" applyNumberFormat="1" applyFont="1" applyAlignment="1">
      <alignment horizontal="right"/>
    </xf>
    <xf numFmtId="9" fontId="0" fillId="0" borderId="0" xfId="0" applyNumberFormat="1" applyFont="1"/>
    <xf numFmtId="9" fontId="23" fillId="0" borderId="0" xfId="2" applyFont="1" applyAlignment="1">
      <alignment horizontal="right"/>
    </xf>
    <xf numFmtId="0" fontId="24" fillId="0" borderId="0" xfId="0" applyFont="1"/>
    <xf numFmtId="9" fontId="24" fillId="0" borderId="0" xfId="2" applyFont="1" applyAlignment="1">
      <alignment horizontal="right"/>
    </xf>
    <xf numFmtId="0" fontId="25" fillId="6" borderId="3" xfId="0" applyFont="1" applyFill="1" applyBorder="1" applyAlignment="1">
      <alignment vertical="center"/>
    </xf>
    <xf numFmtId="0" fontId="26" fillId="7" borderId="3" xfId="0" applyFont="1" applyFill="1" applyBorder="1" applyAlignment="1">
      <alignment vertical="center"/>
    </xf>
    <xf numFmtId="171" fontId="26" fillId="7" borderId="3" xfId="0" applyNumberFormat="1" applyFont="1" applyFill="1" applyBorder="1" applyAlignment="1">
      <alignment vertical="center"/>
    </xf>
    <xf numFmtId="0" fontId="27" fillId="7" borderId="3" xfId="0" applyFont="1" applyFill="1" applyBorder="1" applyAlignment="1">
      <alignment vertical="center"/>
    </xf>
    <xf numFmtId="0" fontId="28" fillId="0" borderId="0" xfId="0" applyFont="1"/>
    <xf numFmtId="180" fontId="28" fillId="0" borderId="0" xfId="0" applyNumberFormat="1" applyFont="1"/>
    <xf numFmtId="0" fontId="29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166" fontId="28" fillId="0" borderId="0" xfId="0" applyNumberFormat="1" applyFont="1" applyAlignment="1">
      <alignment vertical="center" wrapText="1"/>
    </xf>
    <xf numFmtId="0" fontId="28" fillId="0" borderId="0" xfId="0" applyFont="1" applyAlignment="1">
      <alignment vertical="center"/>
    </xf>
    <xf numFmtId="180" fontId="0" fillId="0" borderId="0" xfId="0" applyNumberFormat="1" applyFont="1"/>
    <xf numFmtId="9" fontId="4" fillId="2" borderId="1" xfId="2" applyFont="1" applyFill="1" applyBorder="1"/>
    <xf numFmtId="9" fontId="4" fillId="3" borderId="1" xfId="2" applyFont="1" applyFill="1" applyBorder="1"/>
    <xf numFmtId="9" fontId="4" fillId="4" borderId="1" xfId="2" applyFont="1" applyFill="1" applyBorder="1"/>
    <xf numFmtId="172" fontId="3" fillId="0" borderId="0" xfId="0" applyNumberFormat="1" applyFont="1" applyAlignment="1">
      <alignment horizontal="center" vertical="center" wrapText="1"/>
    </xf>
    <xf numFmtId="10" fontId="1" fillId="0" borderId="0" xfId="2" applyNumberFormat="1" applyFont="1" applyAlignment="1">
      <alignment horizontal="right"/>
    </xf>
  </cellXfs>
  <cellStyles count="4">
    <cellStyle name="Comma" xfId="1" builtinId="3"/>
    <cellStyle name="Comma 2" xfId="3" xr:uid="{00000000-0005-0000-0000-000006000000}"/>
    <cellStyle name="Normal" xfId="0" builtinId="0"/>
    <cellStyle name="Percent" xfId="2" builtinId="5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theme="3" tint="0.7498702963347270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8702963347270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BFBFBF"/>
      <rgbColor rgb="FF7F7F7F"/>
      <rgbColor rgb="FFB1BBCC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DFE3E8"/>
      <rgbColor rgb="FFC6EFCE"/>
      <rgbColor rgb="FFFFEB9C"/>
      <rgbColor rgb="FFA6CAE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97132"/>
      <rgbColor rgb="FF595959"/>
      <rgbColor rgb="FF8B8B8B"/>
      <rgbColor rgb="FF1F3864"/>
      <rgbColor rgb="FF4EA72E"/>
      <rgbColor rgb="FF003300"/>
      <rgbColor rgb="FF404040"/>
      <rgbColor rgb="FFC04F15"/>
      <rgbColor rgb="FF993366"/>
      <rgbColor rgb="FF333399"/>
      <rgbColor rgb="FF3636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S-Curve Kumulatif: Target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Log_Mingguan!$E$7</c:f>
              <c:strCache>
                <c:ptCount val="1"/>
                <c:pt idx="0">
                  <c:v>Target Kumulatif</c:v>
                </c:pt>
              </c:strCache>
            </c:strRef>
          </c:tx>
          <c:spPr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Log_Mingguan!$C$8:$C$27</c:f>
              <c:numCache>
                <c:formatCode>dd/mmm/yy</c:formatCode>
                <c:ptCount val="20"/>
                <c:pt idx="0">
                  <c:v>46156</c:v>
                </c:pt>
                <c:pt idx="1">
                  <c:v>46163</c:v>
                </c:pt>
                <c:pt idx="2">
                  <c:v>46170</c:v>
                </c:pt>
                <c:pt idx="3">
                  <c:v>46177</c:v>
                </c:pt>
                <c:pt idx="4">
                  <c:v>46184</c:v>
                </c:pt>
                <c:pt idx="5">
                  <c:v>46191</c:v>
                </c:pt>
                <c:pt idx="6">
                  <c:v>46198</c:v>
                </c:pt>
                <c:pt idx="7">
                  <c:v>46205</c:v>
                </c:pt>
                <c:pt idx="8">
                  <c:v>46212</c:v>
                </c:pt>
                <c:pt idx="9">
                  <c:v>46219</c:v>
                </c:pt>
                <c:pt idx="10">
                  <c:v>46226</c:v>
                </c:pt>
                <c:pt idx="11">
                  <c:v>46233</c:v>
                </c:pt>
                <c:pt idx="12">
                  <c:v>46240</c:v>
                </c:pt>
                <c:pt idx="13">
                  <c:v>46247</c:v>
                </c:pt>
                <c:pt idx="14">
                  <c:v>46254</c:v>
                </c:pt>
                <c:pt idx="15">
                  <c:v>46261</c:v>
                </c:pt>
                <c:pt idx="16">
                  <c:v>46268</c:v>
                </c:pt>
                <c:pt idx="17">
                  <c:v>46275</c:v>
                </c:pt>
                <c:pt idx="18">
                  <c:v>46282</c:v>
                </c:pt>
                <c:pt idx="19">
                  <c:v>46289</c:v>
                </c:pt>
              </c:numCache>
            </c:numRef>
          </c:cat>
          <c:val>
            <c:numRef>
              <c:f>Log_Mingguan!$E$8:$E$27</c:f>
              <c:numCache>
                <c:formatCode>0.0%</c:formatCode>
                <c:ptCount val="20"/>
                <c:pt idx="0">
                  <c:v>5.1428571428571435E-2</c:v>
                </c:pt>
                <c:pt idx="1">
                  <c:v>0.1</c:v>
                </c:pt>
                <c:pt idx="2">
                  <c:v>0.15000000000000002</c:v>
                </c:pt>
                <c:pt idx="3">
                  <c:v>0.22000000000000003</c:v>
                </c:pt>
                <c:pt idx="4">
                  <c:v>0.35000000000000003</c:v>
                </c:pt>
                <c:pt idx="5">
                  <c:v>0.41050420168067231</c:v>
                </c:pt>
                <c:pt idx="6">
                  <c:v>0.50819327731092445</c:v>
                </c:pt>
                <c:pt idx="7">
                  <c:v>0.60588235294117654</c:v>
                </c:pt>
                <c:pt idx="8">
                  <c:v>0.65</c:v>
                </c:pt>
                <c:pt idx="9">
                  <c:v>0.77</c:v>
                </c:pt>
                <c:pt idx="10">
                  <c:v>0.79249999999999998</c:v>
                </c:pt>
                <c:pt idx="11">
                  <c:v>0.81333333333333335</c:v>
                </c:pt>
                <c:pt idx="12">
                  <c:v>0.84</c:v>
                </c:pt>
                <c:pt idx="13">
                  <c:v>0.88</c:v>
                </c:pt>
                <c:pt idx="14">
                  <c:v>0.93</c:v>
                </c:pt>
                <c:pt idx="15">
                  <c:v>0.99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9-492A-9E99-105F1F632909}"/>
            </c:ext>
          </c:extLst>
        </c:ser>
        <c:ser>
          <c:idx val="1"/>
          <c:order val="1"/>
          <c:tx>
            <c:strRef>
              <c:f>Log_Mingguan!$D$7</c:f>
              <c:strCache>
                <c:ptCount val="1"/>
                <c:pt idx="0">
                  <c:v>Actual Kumulatif</c:v>
                </c:pt>
              </c:strCache>
            </c:strRef>
          </c:tx>
          <c:spPr>
            <a:ln w="32040">
              <a:solidFill>
                <a:srgbClr val="00B050"/>
              </a:solidFill>
              <a:round/>
            </a:ln>
          </c:spPr>
          <c:marker>
            <c:symbol val="circle"/>
            <c:size val="7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Log_Mingguan!$C$8:$C$27</c:f>
              <c:numCache>
                <c:formatCode>dd/mmm/yy</c:formatCode>
                <c:ptCount val="20"/>
                <c:pt idx="0">
                  <c:v>46156</c:v>
                </c:pt>
                <c:pt idx="1">
                  <c:v>46163</c:v>
                </c:pt>
                <c:pt idx="2">
                  <c:v>46170</c:v>
                </c:pt>
                <c:pt idx="3">
                  <c:v>46177</c:v>
                </c:pt>
                <c:pt idx="4">
                  <c:v>46184</c:v>
                </c:pt>
                <c:pt idx="5">
                  <c:v>46191</c:v>
                </c:pt>
                <c:pt idx="6">
                  <c:v>46198</c:v>
                </c:pt>
                <c:pt idx="7">
                  <c:v>46205</c:v>
                </c:pt>
                <c:pt idx="8">
                  <c:v>46212</c:v>
                </c:pt>
                <c:pt idx="9">
                  <c:v>46219</c:v>
                </c:pt>
                <c:pt idx="10">
                  <c:v>46226</c:v>
                </c:pt>
                <c:pt idx="11">
                  <c:v>46233</c:v>
                </c:pt>
                <c:pt idx="12">
                  <c:v>46240</c:v>
                </c:pt>
                <c:pt idx="13">
                  <c:v>46247</c:v>
                </c:pt>
                <c:pt idx="14">
                  <c:v>46254</c:v>
                </c:pt>
                <c:pt idx="15">
                  <c:v>46261</c:v>
                </c:pt>
                <c:pt idx="16">
                  <c:v>46268</c:v>
                </c:pt>
                <c:pt idx="17">
                  <c:v>46275</c:v>
                </c:pt>
                <c:pt idx="18">
                  <c:v>46282</c:v>
                </c:pt>
                <c:pt idx="19">
                  <c:v>46289</c:v>
                </c:pt>
              </c:numCache>
            </c:numRef>
          </c:cat>
          <c:val>
            <c:numRef>
              <c:f>Log_Mingguan!$D$8:$D$27</c:f>
              <c:numCache>
                <c:formatCode>0.0%</c:formatCode>
                <c:ptCount val="20"/>
                <c:pt idx="0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B9-492A-9E99-105F1F632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246256"/>
        <c:axId val="11075197"/>
      </c:lineChart>
      <c:dateAx>
        <c:axId val="43246256"/>
        <c:scaling>
          <c:orientation val="minMax"/>
        </c:scaling>
        <c:delete val="0"/>
        <c:axPos val="b"/>
        <c:numFmt formatCode="dd/mmm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1075197"/>
        <c:crosses val="autoZero"/>
        <c:auto val="1"/>
        <c:lblOffset val="100"/>
        <c:baseTimeUnit val="days"/>
      </c:dateAx>
      <c:valAx>
        <c:axId val="11075197"/>
        <c:scaling>
          <c:orientation val="minMax"/>
          <c:max val="1"/>
          <c:min val="0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Progress kumulatif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32462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'milestone progress'!$J$1</c:f>
              <c:strCache>
                <c:ptCount val="1"/>
                <c:pt idx="0">
                  <c:v>Linear Target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'milestone progress'!$B$2:$B$10</c:f>
              <c:strCache>
                <c:ptCount val="9"/>
                <c:pt idx="0">
                  <c:v>Initiation &amp; Analysis</c:v>
                </c:pt>
                <c:pt idx="1">
                  <c:v>Requirement, Analisa &amp; Desain</c:v>
                </c:pt>
                <c:pt idx="2">
                  <c:v>DevOps &amp; CMS Setup</c:v>
                </c:pt>
                <c:pt idx="3">
                  <c:v>Project Implementation</c:v>
                </c:pt>
                <c:pt idx="4">
                  <c:v>Testing &amp; UAT</c:v>
                </c:pt>
                <c:pt idx="5">
                  <c:v>Pentest</c:v>
                </c:pt>
                <c:pt idx="6">
                  <c:v>Training</c:v>
                </c:pt>
                <c:pt idx="7">
                  <c:v>Go Live Preparation</c:v>
                </c:pt>
                <c:pt idx="8">
                  <c:v>Go Live</c:v>
                </c:pt>
              </c:strCache>
            </c:strRef>
          </c:cat>
          <c:val>
            <c:numRef>
              <c:f>'milestone progress'!$J$2:$J$10</c:f>
              <c:numCache>
                <c:formatCode>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E-464F-A702-B2CEF64E18C6}"/>
            </c:ext>
          </c:extLst>
        </c:ser>
        <c:ser>
          <c:idx val="1"/>
          <c:order val="1"/>
          <c:tx>
            <c:strRef>
              <c:f>'milestone progress'!$L$1</c:f>
              <c:strCache>
                <c:ptCount val="1"/>
                <c:pt idx="0">
                  <c:v>Actual Progress</c:v>
                </c:pt>
              </c:strCache>
            </c:strRef>
          </c:tx>
          <c:spPr>
            <a:solidFill>
              <a:srgbClr val="4EA72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'milestone progress'!$B$2:$B$10</c:f>
              <c:strCache>
                <c:ptCount val="9"/>
                <c:pt idx="0">
                  <c:v>Initiation &amp; Analysis</c:v>
                </c:pt>
                <c:pt idx="1">
                  <c:v>Requirement, Analisa &amp; Desain</c:v>
                </c:pt>
                <c:pt idx="2">
                  <c:v>DevOps &amp; CMS Setup</c:v>
                </c:pt>
                <c:pt idx="3">
                  <c:v>Project Implementation</c:v>
                </c:pt>
                <c:pt idx="4">
                  <c:v>Testing &amp; UAT</c:v>
                </c:pt>
                <c:pt idx="5">
                  <c:v>Pentest</c:v>
                </c:pt>
                <c:pt idx="6">
                  <c:v>Training</c:v>
                </c:pt>
                <c:pt idx="7">
                  <c:v>Go Live Preparation</c:v>
                </c:pt>
                <c:pt idx="8">
                  <c:v>Go Live</c:v>
                </c:pt>
              </c:strCache>
            </c:strRef>
          </c:cat>
          <c:val>
            <c:numRef>
              <c:f>'milestone progress'!$L$2:$L$10</c:f>
              <c:numCache>
                <c:formatCode>0%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E-464F-A702-B2CEF64E1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290499"/>
        <c:axId val="77525100"/>
      </c:barChart>
      <c:catAx>
        <c:axId val="762904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77525100"/>
        <c:crosses val="autoZero"/>
        <c:auto val="1"/>
        <c:lblAlgn val="ctr"/>
        <c:lblOffset val="100"/>
        <c:noMultiLvlLbl val="0"/>
      </c:catAx>
      <c:valAx>
        <c:axId val="77525100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762904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6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ID" sz="1600" b="1" strike="noStrike" spc="-1">
                <a:solidFill>
                  <a:srgbClr val="595959"/>
                </a:solidFill>
                <a:latin typeface="Aptos Narrow"/>
              </a:rPr>
              <a:t>AUTO BANDWIDTH ON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73857380617101E-2"/>
          <c:y val="0.101147028154327"/>
          <c:w val="0.90250928178210199"/>
          <c:h val="0.73201251303441095"/>
        </c:manualLayout>
      </c:layout>
      <c:lineChart>
        <c:grouping val="standard"/>
        <c:varyColors val="0"/>
        <c:ser>
          <c:idx val="0"/>
          <c:order val="0"/>
          <c:tx>
            <c:strRef>
              <c:f>'SCurve D1'!$O$67</c:f>
              <c:strCache>
                <c:ptCount val="1"/>
                <c:pt idx="0">
                  <c:v>Target Linear (%)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'SCurve D1'!$P$66:$AE$66</c:f>
              <c:numCache>
                <c:formatCode>dd/mm/yy;@</c:formatCode>
                <c:ptCount val="16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  <c:pt idx="12">
                  <c:v>46234</c:v>
                </c:pt>
                <c:pt idx="13">
                  <c:v>46241</c:v>
                </c:pt>
                <c:pt idx="14">
                  <c:v>46248</c:v>
                </c:pt>
                <c:pt idx="15">
                  <c:v>46255</c:v>
                </c:pt>
              </c:numCache>
            </c:numRef>
          </c:cat>
          <c:val>
            <c:numRef>
              <c:f>'SCurve D1'!$P$67:$AE$67</c:f>
              <c:numCache>
                <c:formatCode>0.00%</c:formatCode>
                <c:ptCount val="16"/>
                <c:pt idx="0">
                  <c:v>0.01</c:v>
                </c:pt>
                <c:pt idx="1">
                  <c:v>5.7777777777777782E-2</c:v>
                </c:pt>
                <c:pt idx="2">
                  <c:v>0.1280952380952381</c:v>
                </c:pt>
                <c:pt idx="3">
                  <c:v>0.17542857142857143</c:v>
                </c:pt>
                <c:pt idx="4">
                  <c:v>0.24809523809523809</c:v>
                </c:pt>
                <c:pt idx="5">
                  <c:v>0.45142857142857146</c:v>
                </c:pt>
                <c:pt idx="6">
                  <c:v>0.53476190476190477</c:v>
                </c:pt>
                <c:pt idx="7">
                  <c:v>0.62642857142857145</c:v>
                </c:pt>
                <c:pt idx="8">
                  <c:v>0.70809523809523811</c:v>
                </c:pt>
                <c:pt idx="9">
                  <c:v>0.76542857142857146</c:v>
                </c:pt>
                <c:pt idx="10">
                  <c:v>0.86642857142857144</c:v>
                </c:pt>
                <c:pt idx="11">
                  <c:v>0.88642857142857145</c:v>
                </c:pt>
                <c:pt idx="12">
                  <c:v>0.91142857142857148</c:v>
                </c:pt>
                <c:pt idx="13">
                  <c:v>0.93809523809523809</c:v>
                </c:pt>
                <c:pt idx="14">
                  <c:v>0.98142857142857143</c:v>
                </c:pt>
                <c:pt idx="15">
                  <c:v>1.0764285714285715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3-4033-8C63-C33181D0B1B0}"/>
            </c:ext>
          </c:extLst>
        </c:ser>
        <c:ser>
          <c:idx val="1"/>
          <c:order val="1"/>
          <c:tx>
            <c:strRef>
              <c:f>'SCurve D1'!$O$68</c:f>
              <c:strCache>
                <c:ptCount val="1"/>
                <c:pt idx="0">
                  <c:v>Cumulative Actual (%)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1-A153-4033-8C63-C33181D0B1B0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53-4033-8C63-C33181D0B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'SCurve D1'!$P$66:$AE$66</c:f>
              <c:numCache>
                <c:formatCode>dd/mm/yy;@</c:formatCode>
                <c:ptCount val="16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  <c:pt idx="12">
                  <c:v>46234</c:v>
                </c:pt>
                <c:pt idx="13">
                  <c:v>46241</c:v>
                </c:pt>
                <c:pt idx="14">
                  <c:v>46248</c:v>
                </c:pt>
                <c:pt idx="15">
                  <c:v>46255</c:v>
                </c:pt>
              </c:numCache>
            </c:numRef>
          </c:cat>
          <c:val>
            <c:numRef>
              <c:f>'SCurve D1'!$P$68:$AE$68</c:f>
              <c:numCache>
                <c:formatCode>0.00%</c:formatCode>
                <c:ptCount val="16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53-4033-8C63-C33181D0B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306622"/>
        <c:axId val="69851858"/>
      </c:lineChart>
      <c:dateAx>
        <c:axId val="97306622"/>
        <c:scaling>
          <c:orientation val="minMax"/>
        </c:scaling>
        <c:delete val="0"/>
        <c:axPos val="b"/>
        <c:numFmt formatCode="dd/mm/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9851858"/>
        <c:crosses val="autoZero"/>
        <c:auto val="1"/>
        <c:lblOffset val="100"/>
        <c:baseTimeUnit val="days"/>
      </c:dateAx>
      <c:valAx>
        <c:axId val="6985185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973066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312840</xdr:colOff>
      <xdr:row>72</xdr:row>
      <xdr:rowOff>27360</xdr:rowOff>
    </xdr:from>
    <xdr:to>
      <xdr:col>24</xdr:col>
      <xdr:colOff>816120</xdr:colOff>
      <xdr:row>103</xdr:row>
      <xdr:rowOff>40680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38160</xdr:colOff>
      <xdr:row>18</xdr:row>
      <xdr:rowOff>85680</xdr:rowOff>
    </xdr:from>
    <xdr:to>
      <xdr:col>13</xdr:col>
      <xdr:colOff>437760</xdr:colOff>
      <xdr:row>36</xdr:row>
      <xdr:rowOff>99720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312840</xdr:colOff>
      <xdr:row>72</xdr:row>
      <xdr:rowOff>27360</xdr:rowOff>
    </xdr:from>
    <xdr:to>
      <xdr:col>24</xdr:col>
      <xdr:colOff>816120</xdr:colOff>
      <xdr:row>103</xdr:row>
      <xdr:rowOff>40680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L125"/>
  <sheetViews>
    <sheetView tabSelected="1" topLeftCell="A13" zoomScale="85" zoomScaleNormal="85" workbookViewId="0">
      <selection activeCell="F10" sqref="F10"/>
    </sheetView>
  </sheetViews>
  <sheetFormatPr defaultColWidth="8.85546875" defaultRowHeight="15.75" x14ac:dyDescent="0.25"/>
  <cols>
    <col min="1" max="1" width="5.140625" style="5" customWidth="1"/>
    <col min="2" max="2" width="65.28515625" style="5" customWidth="1"/>
    <col min="3" max="3" width="20.5703125" style="5" customWidth="1"/>
    <col min="4" max="4" width="19.5703125" style="5" customWidth="1"/>
    <col min="5" max="5" width="17.42578125" style="5" customWidth="1"/>
    <col min="6" max="6" width="13.7109375" style="5" customWidth="1"/>
    <col min="7" max="7" width="11.42578125" style="5" customWidth="1"/>
    <col min="8" max="8" width="11" style="6" customWidth="1"/>
    <col min="9" max="9" width="13.85546875" style="7" customWidth="1"/>
    <col min="10" max="10" width="10.140625" style="7" customWidth="1"/>
    <col min="11" max="11" width="11.140625" style="7" customWidth="1"/>
    <col min="12" max="12" width="9.85546875" style="7" customWidth="1"/>
    <col min="13" max="14" width="12.140625" style="7" customWidth="1"/>
    <col min="15" max="15" width="27.85546875" style="5" customWidth="1"/>
    <col min="16" max="36" width="13.42578125" style="8" customWidth="1"/>
    <col min="37" max="63" width="13.42578125" style="5" customWidth="1"/>
    <col min="64" max="16384" width="8.85546875" style="5"/>
  </cols>
  <sheetData>
    <row r="2" spans="1:64" x14ac:dyDescent="0.25">
      <c r="B2" s="9" t="s">
        <v>0</v>
      </c>
      <c r="C2" s="4" t="s">
        <v>1</v>
      </c>
      <c r="D2" s="4"/>
    </row>
    <row r="3" spans="1:64" x14ac:dyDescent="0.25">
      <c r="B3" s="9" t="s">
        <v>2</v>
      </c>
      <c r="C3" s="4" t="s">
        <v>3</v>
      </c>
      <c r="D3" s="4"/>
    </row>
    <row r="4" spans="1:64" x14ac:dyDescent="0.25">
      <c r="B4" s="9" t="s">
        <v>4</v>
      </c>
      <c r="C4" s="4" t="s">
        <v>5</v>
      </c>
      <c r="D4" s="4"/>
      <c r="E4" s="10"/>
      <c r="F4" s="10"/>
    </row>
    <row r="5" spans="1:64" x14ac:dyDescent="0.25">
      <c r="B5" s="9" t="s">
        <v>6</v>
      </c>
      <c r="C5" s="3">
        <v>46262</v>
      </c>
      <c r="D5" s="3"/>
    </row>
    <row r="6" spans="1:64" x14ac:dyDescent="0.25">
      <c r="B6" s="9" t="s">
        <v>7</v>
      </c>
      <c r="C6" s="3">
        <v>46265</v>
      </c>
      <c r="D6" s="3"/>
    </row>
    <row r="7" spans="1:64" x14ac:dyDescent="0.25">
      <c r="B7" s="9" t="s">
        <v>8</v>
      </c>
      <c r="C7" s="3">
        <v>46156</v>
      </c>
      <c r="D7" s="3"/>
    </row>
    <row r="8" spans="1:64" x14ac:dyDescent="0.25">
      <c r="B8" s="9" t="s">
        <v>9</v>
      </c>
      <c r="C8" s="3">
        <v>46156</v>
      </c>
      <c r="D8" s="3"/>
    </row>
    <row r="9" spans="1:64" x14ac:dyDescent="0.25">
      <c r="B9" s="9"/>
      <c r="C9" s="11"/>
      <c r="D9" s="11"/>
    </row>
    <row r="10" spans="1:64" x14ac:dyDescent="0.25">
      <c r="B10" s="12" t="s">
        <v>10</v>
      </c>
      <c r="C10" s="12" t="s">
        <v>11</v>
      </c>
      <c r="D10" s="12" t="s">
        <v>12</v>
      </c>
    </row>
    <row r="11" spans="1:64" x14ac:dyDescent="0.25">
      <c r="B11" s="13">
        <f>J62</f>
        <v>5.1428571428571428E-2</v>
      </c>
      <c r="C11" s="14">
        <f>L62</f>
        <v>5.5E-2</v>
      </c>
      <c r="D11" s="15">
        <f>C11-B11</f>
        <v>3.5714285714285726E-3</v>
      </c>
      <c r="H11" s="16"/>
    </row>
    <row r="16" spans="1:64" s="18" customFormat="1" x14ac:dyDescent="0.25">
      <c r="A16" s="17"/>
      <c r="H16" s="19"/>
      <c r="I16" s="20"/>
      <c r="J16" s="20"/>
      <c r="K16" s="20"/>
      <c r="L16" s="20"/>
      <c r="M16" s="20"/>
      <c r="N16" s="20"/>
      <c r="P16" s="21">
        <v>46149</v>
      </c>
      <c r="Q16" s="21">
        <f t="shared" ref="Q16:BK16" si="0">P17+1</f>
        <v>46157</v>
      </c>
      <c r="R16" s="21">
        <f t="shared" si="0"/>
        <v>46164</v>
      </c>
      <c r="S16" s="21">
        <f t="shared" si="0"/>
        <v>46171</v>
      </c>
      <c r="T16" s="21">
        <f t="shared" si="0"/>
        <v>46178</v>
      </c>
      <c r="U16" s="21">
        <f t="shared" si="0"/>
        <v>46185</v>
      </c>
      <c r="V16" s="21">
        <f t="shared" si="0"/>
        <v>46192</v>
      </c>
      <c r="W16" s="21">
        <f t="shared" si="0"/>
        <v>46199</v>
      </c>
      <c r="X16" s="21">
        <f t="shared" si="0"/>
        <v>46206</v>
      </c>
      <c r="Y16" s="21">
        <f t="shared" si="0"/>
        <v>46213</v>
      </c>
      <c r="Z16" s="21">
        <f t="shared" si="0"/>
        <v>46220</v>
      </c>
      <c r="AA16" s="21">
        <f t="shared" si="0"/>
        <v>46227</v>
      </c>
      <c r="AB16" s="21">
        <f t="shared" si="0"/>
        <v>46234</v>
      </c>
      <c r="AC16" s="21">
        <f t="shared" si="0"/>
        <v>46241</v>
      </c>
      <c r="AD16" s="21">
        <f t="shared" si="0"/>
        <v>46248</v>
      </c>
      <c r="AE16" s="21">
        <f t="shared" si="0"/>
        <v>46255</v>
      </c>
      <c r="AF16" s="21">
        <f t="shared" si="0"/>
        <v>46262</v>
      </c>
      <c r="AG16" s="21">
        <f t="shared" si="0"/>
        <v>46269</v>
      </c>
      <c r="AH16" s="21">
        <f t="shared" si="0"/>
        <v>46276</v>
      </c>
      <c r="AI16" s="21">
        <f t="shared" si="0"/>
        <v>46283</v>
      </c>
      <c r="AJ16" s="21">
        <f t="shared" si="0"/>
        <v>46290</v>
      </c>
      <c r="AK16" s="21">
        <f t="shared" si="0"/>
        <v>46297</v>
      </c>
      <c r="AL16" s="21">
        <f t="shared" si="0"/>
        <v>46304</v>
      </c>
      <c r="AM16" s="21">
        <f t="shared" si="0"/>
        <v>46311</v>
      </c>
      <c r="AN16" s="21">
        <f t="shared" si="0"/>
        <v>46318</v>
      </c>
      <c r="AO16" s="21">
        <f t="shared" si="0"/>
        <v>46325</v>
      </c>
      <c r="AP16" s="21">
        <f t="shared" si="0"/>
        <v>46332</v>
      </c>
      <c r="AQ16" s="21">
        <f t="shared" si="0"/>
        <v>46339</v>
      </c>
      <c r="AR16" s="21">
        <f t="shared" si="0"/>
        <v>46346</v>
      </c>
      <c r="AS16" s="21">
        <f t="shared" si="0"/>
        <v>46353</v>
      </c>
      <c r="AT16" s="21">
        <f t="shared" si="0"/>
        <v>46360</v>
      </c>
      <c r="AU16" s="21">
        <f t="shared" si="0"/>
        <v>46367</v>
      </c>
      <c r="AV16" s="21">
        <f t="shared" si="0"/>
        <v>46374</v>
      </c>
      <c r="AW16" s="21">
        <f t="shared" si="0"/>
        <v>46381</v>
      </c>
      <c r="AX16" s="21">
        <f t="shared" si="0"/>
        <v>46388</v>
      </c>
      <c r="AY16" s="21">
        <f t="shared" si="0"/>
        <v>46395</v>
      </c>
      <c r="AZ16" s="21">
        <f t="shared" si="0"/>
        <v>46402</v>
      </c>
      <c r="BA16" s="21">
        <f t="shared" si="0"/>
        <v>46409</v>
      </c>
      <c r="BB16" s="21">
        <f t="shared" si="0"/>
        <v>46416</v>
      </c>
      <c r="BC16" s="21">
        <f t="shared" si="0"/>
        <v>46423</v>
      </c>
      <c r="BD16" s="21">
        <f t="shared" si="0"/>
        <v>46430</v>
      </c>
      <c r="BE16" s="21">
        <f t="shared" si="0"/>
        <v>46437</v>
      </c>
      <c r="BF16" s="21">
        <f t="shared" si="0"/>
        <v>46444</v>
      </c>
      <c r="BG16" s="21">
        <f t="shared" si="0"/>
        <v>46451</v>
      </c>
      <c r="BH16" s="21">
        <f t="shared" si="0"/>
        <v>46458</v>
      </c>
      <c r="BI16" s="21">
        <f t="shared" si="0"/>
        <v>46465</v>
      </c>
      <c r="BJ16" s="21">
        <f t="shared" si="0"/>
        <v>46472</v>
      </c>
      <c r="BK16" s="21">
        <f t="shared" si="0"/>
        <v>46479</v>
      </c>
      <c r="BL16" s="22"/>
    </row>
    <row r="17" spans="1:63" s="24" customFormat="1" x14ac:dyDescent="0.25">
      <c r="A17" s="23"/>
      <c r="H17" s="25"/>
      <c r="I17" s="26"/>
      <c r="J17" s="26"/>
      <c r="K17" s="26"/>
      <c r="L17" s="26"/>
      <c r="M17" s="26"/>
      <c r="N17" s="26"/>
      <c r="P17" s="27">
        <v>46156</v>
      </c>
      <c r="Q17" s="27">
        <f t="shared" ref="Q17:BK17" si="1">P17+7</f>
        <v>46163</v>
      </c>
      <c r="R17" s="27">
        <f t="shared" si="1"/>
        <v>46170</v>
      </c>
      <c r="S17" s="27">
        <f t="shared" si="1"/>
        <v>46177</v>
      </c>
      <c r="T17" s="27">
        <f t="shared" si="1"/>
        <v>46184</v>
      </c>
      <c r="U17" s="27">
        <f t="shared" si="1"/>
        <v>46191</v>
      </c>
      <c r="V17" s="27">
        <f t="shared" si="1"/>
        <v>46198</v>
      </c>
      <c r="W17" s="27">
        <f t="shared" si="1"/>
        <v>46205</v>
      </c>
      <c r="X17" s="27">
        <f t="shared" si="1"/>
        <v>46212</v>
      </c>
      <c r="Y17" s="27">
        <f t="shared" si="1"/>
        <v>46219</v>
      </c>
      <c r="Z17" s="27">
        <f t="shared" si="1"/>
        <v>46226</v>
      </c>
      <c r="AA17" s="27">
        <f t="shared" si="1"/>
        <v>46233</v>
      </c>
      <c r="AB17" s="27">
        <f t="shared" si="1"/>
        <v>46240</v>
      </c>
      <c r="AC17" s="27">
        <f t="shared" si="1"/>
        <v>46247</v>
      </c>
      <c r="AD17" s="27">
        <f t="shared" si="1"/>
        <v>46254</v>
      </c>
      <c r="AE17" s="27">
        <f t="shared" si="1"/>
        <v>46261</v>
      </c>
      <c r="AF17" s="27">
        <f t="shared" si="1"/>
        <v>46268</v>
      </c>
      <c r="AG17" s="27">
        <f t="shared" si="1"/>
        <v>46275</v>
      </c>
      <c r="AH17" s="27">
        <f t="shared" si="1"/>
        <v>46282</v>
      </c>
      <c r="AI17" s="27">
        <f t="shared" si="1"/>
        <v>46289</v>
      </c>
      <c r="AJ17" s="27">
        <f t="shared" si="1"/>
        <v>46296</v>
      </c>
      <c r="AK17" s="27">
        <f t="shared" si="1"/>
        <v>46303</v>
      </c>
      <c r="AL17" s="27">
        <f t="shared" si="1"/>
        <v>46310</v>
      </c>
      <c r="AM17" s="27">
        <f t="shared" si="1"/>
        <v>46317</v>
      </c>
      <c r="AN17" s="27">
        <f t="shared" si="1"/>
        <v>46324</v>
      </c>
      <c r="AO17" s="27">
        <f t="shared" si="1"/>
        <v>46331</v>
      </c>
      <c r="AP17" s="27">
        <f t="shared" si="1"/>
        <v>46338</v>
      </c>
      <c r="AQ17" s="27">
        <f t="shared" si="1"/>
        <v>46345</v>
      </c>
      <c r="AR17" s="27">
        <f t="shared" si="1"/>
        <v>46352</v>
      </c>
      <c r="AS17" s="27">
        <f t="shared" si="1"/>
        <v>46359</v>
      </c>
      <c r="AT17" s="27">
        <f t="shared" si="1"/>
        <v>46366</v>
      </c>
      <c r="AU17" s="27">
        <f t="shared" si="1"/>
        <v>46373</v>
      </c>
      <c r="AV17" s="27">
        <f t="shared" si="1"/>
        <v>46380</v>
      </c>
      <c r="AW17" s="27">
        <f t="shared" si="1"/>
        <v>46387</v>
      </c>
      <c r="AX17" s="27">
        <f t="shared" si="1"/>
        <v>46394</v>
      </c>
      <c r="AY17" s="27">
        <f t="shared" si="1"/>
        <v>46401</v>
      </c>
      <c r="AZ17" s="27">
        <f t="shared" si="1"/>
        <v>46408</v>
      </c>
      <c r="BA17" s="27">
        <f t="shared" si="1"/>
        <v>46415</v>
      </c>
      <c r="BB17" s="27">
        <f t="shared" si="1"/>
        <v>46422</v>
      </c>
      <c r="BC17" s="27">
        <f t="shared" si="1"/>
        <v>46429</v>
      </c>
      <c r="BD17" s="27">
        <f t="shared" si="1"/>
        <v>46436</v>
      </c>
      <c r="BE17" s="27">
        <f t="shared" si="1"/>
        <v>46443</v>
      </c>
      <c r="BF17" s="27">
        <f t="shared" si="1"/>
        <v>46450</v>
      </c>
      <c r="BG17" s="27">
        <f t="shared" si="1"/>
        <v>46457</v>
      </c>
      <c r="BH17" s="27">
        <f t="shared" si="1"/>
        <v>46464</v>
      </c>
      <c r="BI17" s="27">
        <f t="shared" si="1"/>
        <v>46471</v>
      </c>
      <c r="BJ17" s="27">
        <f t="shared" si="1"/>
        <v>46478</v>
      </c>
      <c r="BK17" s="27">
        <f t="shared" si="1"/>
        <v>46485</v>
      </c>
    </row>
    <row r="18" spans="1:63" ht="15.75" customHeight="1" x14ac:dyDescent="0.25">
      <c r="A18" s="28" t="s">
        <v>13</v>
      </c>
      <c r="B18" s="28" t="s">
        <v>14</v>
      </c>
      <c r="C18" s="29" t="s">
        <v>15</v>
      </c>
      <c r="D18" s="30" t="s">
        <v>16</v>
      </c>
      <c r="E18" s="30" t="s">
        <v>17</v>
      </c>
      <c r="F18" s="31" t="s">
        <v>15</v>
      </c>
      <c r="G18" s="31" t="s">
        <v>18</v>
      </c>
      <c r="H18" s="19" t="s">
        <v>19</v>
      </c>
      <c r="I18" s="2" t="s">
        <v>20</v>
      </c>
      <c r="J18" s="2"/>
      <c r="K18" s="2" t="s">
        <v>21</v>
      </c>
      <c r="L18" s="2"/>
      <c r="M18" s="32" t="s">
        <v>12</v>
      </c>
      <c r="N18" s="33" t="s">
        <v>15</v>
      </c>
      <c r="O18" s="31" t="s">
        <v>18</v>
      </c>
      <c r="P18" s="34" t="s">
        <v>22</v>
      </c>
      <c r="Q18" s="34" t="s">
        <v>23</v>
      </c>
      <c r="R18" s="34" t="s">
        <v>24</v>
      </c>
      <c r="S18" s="34" t="s">
        <v>25</v>
      </c>
      <c r="T18" s="34" t="s">
        <v>26</v>
      </c>
      <c r="U18" s="34" t="s">
        <v>27</v>
      </c>
      <c r="V18" s="34" t="s">
        <v>28</v>
      </c>
      <c r="W18" s="34" t="s">
        <v>29</v>
      </c>
      <c r="X18" s="34" t="s">
        <v>30</v>
      </c>
      <c r="Y18" s="34" t="s">
        <v>31</v>
      </c>
      <c r="Z18" s="34" t="s">
        <v>32</v>
      </c>
      <c r="AA18" s="34" t="s">
        <v>33</v>
      </c>
      <c r="AB18" s="34" t="s">
        <v>34</v>
      </c>
      <c r="AC18" s="34" t="s">
        <v>35</v>
      </c>
      <c r="AD18" s="34" t="s">
        <v>36</v>
      </c>
      <c r="AE18" s="34" t="s">
        <v>37</v>
      </c>
      <c r="AF18" s="34" t="s">
        <v>38</v>
      </c>
      <c r="AG18" s="34" t="s">
        <v>39</v>
      </c>
      <c r="AH18" s="34" t="s">
        <v>40</v>
      </c>
      <c r="AI18" s="34" t="s">
        <v>41</v>
      </c>
      <c r="AJ18" s="34" t="s">
        <v>42</v>
      </c>
      <c r="AK18" s="34" t="s">
        <v>43</v>
      </c>
      <c r="AL18" s="34" t="s">
        <v>44</v>
      </c>
      <c r="AM18" s="34" t="s">
        <v>45</v>
      </c>
      <c r="AN18" s="34" t="s">
        <v>46</v>
      </c>
      <c r="AO18" s="34" t="s">
        <v>47</v>
      </c>
      <c r="AP18" s="34" t="s">
        <v>48</v>
      </c>
      <c r="AQ18" s="34" t="s">
        <v>49</v>
      </c>
      <c r="AR18" s="34" t="s">
        <v>50</v>
      </c>
      <c r="AS18" s="34" t="s">
        <v>51</v>
      </c>
      <c r="AT18" s="34" t="s">
        <v>52</v>
      </c>
      <c r="AU18" s="34" t="s">
        <v>53</v>
      </c>
      <c r="AV18" s="34" t="s">
        <v>54</v>
      </c>
      <c r="AW18" s="34" t="s">
        <v>55</v>
      </c>
      <c r="AX18" s="34" t="s">
        <v>56</v>
      </c>
      <c r="AY18" s="34" t="s">
        <v>57</v>
      </c>
      <c r="AZ18" s="34" t="s">
        <v>58</v>
      </c>
      <c r="BA18" s="34" t="s">
        <v>59</v>
      </c>
      <c r="BB18" s="34" t="s">
        <v>60</v>
      </c>
      <c r="BC18" s="34" t="s">
        <v>61</v>
      </c>
      <c r="BD18" s="34" t="s">
        <v>62</v>
      </c>
      <c r="BE18" s="34" t="s">
        <v>63</v>
      </c>
      <c r="BF18" s="34" t="s">
        <v>64</v>
      </c>
      <c r="BG18" s="34" t="s">
        <v>65</v>
      </c>
      <c r="BH18" s="34" t="s">
        <v>66</v>
      </c>
      <c r="BI18" s="34" t="s">
        <v>67</v>
      </c>
      <c r="BJ18" s="34" t="s">
        <v>68</v>
      </c>
      <c r="BK18" s="34" t="s">
        <v>69</v>
      </c>
    </row>
    <row r="19" spans="1:63" x14ac:dyDescent="0.25">
      <c r="A19" s="28"/>
      <c r="B19" s="28"/>
      <c r="C19" s="29"/>
      <c r="D19" s="30"/>
      <c r="E19" s="30"/>
      <c r="F19" s="30"/>
      <c r="G19" s="30"/>
      <c r="H19" s="19"/>
      <c r="I19" s="20" t="s">
        <v>70</v>
      </c>
      <c r="J19" s="20" t="s">
        <v>71</v>
      </c>
      <c r="K19" s="20" t="s">
        <v>11</v>
      </c>
      <c r="L19" s="20" t="s">
        <v>71</v>
      </c>
      <c r="M19" s="20" t="s">
        <v>71</v>
      </c>
      <c r="N19" s="20"/>
      <c r="O19" s="30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</row>
    <row r="20" spans="1:63" s="9" customFormat="1" x14ac:dyDescent="0.25">
      <c r="A20" s="36" t="s">
        <v>72</v>
      </c>
      <c r="B20" s="9" t="s">
        <v>73</v>
      </c>
      <c r="C20" s="37">
        <f>SUM(C21:C21)</f>
        <v>0.01</v>
      </c>
      <c r="D20" s="38">
        <f>MIN(D21:D21)</f>
        <v>46149</v>
      </c>
      <c r="E20" s="38">
        <f>MAX(E21:E21)</f>
        <v>46149</v>
      </c>
      <c r="F20" s="39"/>
      <c r="G20" s="39"/>
      <c r="H20" s="40">
        <f>NETWORKDAYS(D20,E20,Hari_Libur)</f>
        <v>1</v>
      </c>
      <c r="I20" s="41">
        <f>IF(C20=0,0,J20/C20)</f>
        <v>1</v>
      </c>
      <c r="J20" s="41">
        <f>SUM(J21:J21)</f>
        <v>0.01</v>
      </c>
      <c r="K20" s="41">
        <f>IF(C20=0,0,L20/C20)</f>
        <v>1</v>
      </c>
      <c r="L20" s="41">
        <f>SUM(L21:L21)</f>
        <v>0.01</v>
      </c>
      <c r="M20" s="41">
        <f>SUM(M21:M21)</f>
        <v>0</v>
      </c>
      <c r="N20" s="42"/>
      <c r="O20" s="39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</row>
    <row r="21" spans="1:63" x14ac:dyDescent="0.25">
      <c r="A21" s="45"/>
      <c r="B21" s="46" t="s">
        <v>74</v>
      </c>
      <c r="C21" s="7">
        <v>0.01</v>
      </c>
      <c r="D21" s="47">
        <v>46149</v>
      </c>
      <c r="E21" s="47">
        <v>46149</v>
      </c>
      <c r="F21" s="7">
        <f>C21</f>
        <v>0.01</v>
      </c>
      <c r="G21" s="48">
        <f>SUM(P21:AZ21)</f>
        <v>0.01</v>
      </c>
      <c r="H21" s="49">
        <f>NETWORKDAYS(D21,E21,Hari_Libur)</f>
        <v>1</v>
      </c>
      <c r="I21" s="50">
        <f>IF($C$8&gt;=E21,1,IF($C$8&lt;D21,0,IF(NETWORKDAYS(D21,E21,Hari_Libur)=0,0,NETWORKDAYS(D21,$C$8,Hari_Libur)/NETWORKDAYS(D21,E21,Hari_Libur))))</f>
        <v>1</v>
      </c>
      <c r="J21" s="50">
        <f>I21*F21</f>
        <v>0.01</v>
      </c>
      <c r="K21" s="50">
        <v>1</v>
      </c>
      <c r="L21" s="50">
        <f>C21*K21</f>
        <v>0.01</v>
      </c>
      <c r="M21" s="50">
        <f>L21-J21</f>
        <v>0</v>
      </c>
      <c r="N21" s="51">
        <f>C21</f>
        <v>0.01</v>
      </c>
      <c r="O21" s="52">
        <f>SUM(P21:BK21)</f>
        <v>0.01</v>
      </c>
      <c r="P21" s="53">
        <f t="shared" ref="P21:BK21" si="2">IF(AND($D21&lt;=P$17,$E21&gt;=P$16),$C21*NETWORKDAYS(MAX($D21,P$16),MIN($E21,P$17),Hari_Libur)/NETWORKDAYS($D21,$E21,Hari_Libur),0)</f>
        <v>0.01</v>
      </c>
      <c r="Q21" s="53">
        <f t="shared" si="2"/>
        <v>0</v>
      </c>
      <c r="R21" s="53">
        <f t="shared" si="2"/>
        <v>0</v>
      </c>
      <c r="S21" s="53">
        <f t="shared" si="2"/>
        <v>0</v>
      </c>
      <c r="T21" s="53">
        <f t="shared" si="2"/>
        <v>0</v>
      </c>
      <c r="U21" s="53">
        <f t="shared" si="2"/>
        <v>0</v>
      </c>
      <c r="V21" s="53">
        <f t="shared" si="2"/>
        <v>0</v>
      </c>
      <c r="W21" s="53">
        <f t="shared" si="2"/>
        <v>0</v>
      </c>
      <c r="X21" s="53">
        <f t="shared" si="2"/>
        <v>0</v>
      </c>
      <c r="Y21" s="53">
        <f t="shared" si="2"/>
        <v>0</v>
      </c>
      <c r="Z21" s="53">
        <f t="shared" si="2"/>
        <v>0</v>
      </c>
      <c r="AA21" s="53">
        <f t="shared" si="2"/>
        <v>0</v>
      </c>
      <c r="AB21" s="53">
        <f t="shared" si="2"/>
        <v>0</v>
      </c>
      <c r="AC21" s="53">
        <f t="shared" si="2"/>
        <v>0</v>
      </c>
      <c r="AD21" s="53">
        <f t="shared" si="2"/>
        <v>0</v>
      </c>
      <c r="AE21" s="53">
        <f t="shared" si="2"/>
        <v>0</v>
      </c>
      <c r="AF21" s="53">
        <f t="shared" si="2"/>
        <v>0</v>
      </c>
      <c r="AG21" s="53">
        <f t="shared" si="2"/>
        <v>0</v>
      </c>
      <c r="AH21" s="53">
        <f t="shared" si="2"/>
        <v>0</v>
      </c>
      <c r="AI21" s="53">
        <f t="shared" si="2"/>
        <v>0</v>
      </c>
      <c r="AJ21" s="53">
        <f t="shared" si="2"/>
        <v>0</v>
      </c>
      <c r="AK21" s="53">
        <f t="shared" si="2"/>
        <v>0</v>
      </c>
      <c r="AL21" s="53">
        <f t="shared" si="2"/>
        <v>0</v>
      </c>
      <c r="AM21" s="53">
        <f t="shared" si="2"/>
        <v>0</v>
      </c>
      <c r="AN21" s="53">
        <f t="shared" si="2"/>
        <v>0</v>
      </c>
      <c r="AO21" s="53">
        <f t="shared" si="2"/>
        <v>0</v>
      </c>
      <c r="AP21" s="53">
        <f t="shared" si="2"/>
        <v>0</v>
      </c>
      <c r="AQ21" s="53">
        <f t="shared" si="2"/>
        <v>0</v>
      </c>
      <c r="AR21" s="53">
        <f t="shared" si="2"/>
        <v>0</v>
      </c>
      <c r="AS21" s="53">
        <f t="shared" si="2"/>
        <v>0</v>
      </c>
      <c r="AT21" s="53">
        <f t="shared" si="2"/>
        <v>0</v>
      </c>
      <c r="AU21" s="53">
        <f t="shared" si="2"/>
        <v>0</v>
      </c>
      <c r="AV21" s="53">
        <f t="shared" si="2"/>
        <v>0</v>
      </c>
      <c r="AW21" s="53">
        <f t="shared" si="2"/>
        <v>0</v>
      </c>
      <c r="AX21" s="53">
        <f t="shared" si="2"/>
        <v>0</v>
      </c>
      <c r="AY21" s="53">
        <f t="shared" si="2"/>
        <v>0</v>
      </c>
      <c r="AZ21" s="53">
        <f t="shared" si="2"/>
        <v>0</v>
      </c>
      <c r="BA21" s="53">
        <f t="shared" si="2"/>
        <v>0</v>
      </c>
      <c r="BB21" s="53">
        <f t="shared" si="2"/>
        <v>0</v>
      </c>
      <c r="BC21" s="53">
        <f t="shared" si="2"/>
        <v>0</v>
      </c>
      <c r="BD21" s="53">
        <f t="shared" si="2"/>
        <v>0</v>
      </c>
      <c r="BE21" s="53">
        <f t="shared" si="2"/>
        <v>0</v>
      </c>
      <c r="BF21" s="53">
        <f t="shared" si="2"/>
        <v>0</v>
      </c>
      <c r="BG21" s="53">
        <f t="shared" si="2"/>
        <v>0</v>
      </c>
      <c r="BH21" s="53">
        <f t="shared" si="2"/>
        <v>0</v>
      </c>
      <c r="BI21" s="53">
        <f t="shared" si="2"/>
        <v>0</v>
      </c>
      <c r="BJ21" s="53">
        <f t="shared" si="2"/>
        <v>0</v>
      </c>
      <c r="BK21" s="53">
        <f t="shared" si="2"/>
        <v>0</v>
      </c>
    </row>
    <row r="22" spans="1:63" x14ac:dyDescent="0.25">
      <c r="A22" s="45"/>
      <c r="B22" s="46"/>
      <c r="C22" s="7"/>
      <c r="D22" s="47"/>
      <c r="E22" s="47"/>
      <c r="F22" s="7"/>
      <c r="G22" s="48"/>
      <c r="H22" s="49"/>
      <c r="I22" s="48"/>
      <c r="J22" s="48"/>
      <c r="K22" s="48"/>
      <c r="L22" s="48"/>
      <c r="M22" s="48"/>
      <c r="N22" s="48"/>
      <c r="O22" s="52"/>
      <c r="P22" s="53">
        <f>IF(AND($D22&lt;=P$17,$E22&gt;=P$16),$C22*NETWORKDAYS(MAX($D22,P$16),MIN($E22,P$17),Libur!$A$2:$A$38)/NETWORKDAYS($D22,$E22,Libur!$A$2:$A$38),0)</f>
        <v>0</v>
      </c>
      <c r="Q22" s="53">
        <f>IF(AND($D22&lt;=Q$17,$E22&gt;=Q$16),$C22*NETWORKDAYS(MAX($D22,Q$16),MIN($E22,Q$17),Libur!$A$2:$A$38)/NETWORKDAYS($D22,$E22,Libur!$A$2:$A$38),0)</f>
        <v>0</v>
      </c>
      <c r="R22" s="53">
        <f>IF(AND($D22&lt;=R$17,$E22&gt;=R$16),$C22*NETWORKDAYS(MAX($D22,R$16),MIN($E22,R$17),Libur!$A$2:$A$38)/NETWORKDAYS($D22,$E22,Libur!$A$2:$A$38),0)</f>
        <v>0</v>
      </c>
      <c r="S22" s="53">
        <f>IF(AND($D22&lt;=S$17,$E22&gt;=S$16),$C22*NETWORKDAYS(MAX($D22,S$16),MIN($E22,S$17),Libur!$A$2:$A$38)/NETWORKDAYS($D22,$E22,Libur!$A$2:$A$38),0)</f>
        <v>0</v>
      </c>
      <c r="T22" s="53">
        <f>IF(AND($D22&lt;=T$17,$E22&gt;=T$16),$C22*NETWORKDAYS(MAX($D22,T$16),MIN($E22,T$17),Libur!$A$2:$A$38)/NETWORKDAYS($D22,$E22,Libur!$A$2:$A$38),0)</f>
        <v>0</v>
      </c>
      <c r="U22" s="53">
        <f>IF(AND($D22&lt;=U$17,$E22&gt;=U$16),$C22*NETWORKDAYS(MAX($D22,U$16),MIN($E22,U$17),Libur!$A$2:$A$38)/NETWORKDAYS($D22,$E22,Libur!$A$2:$A$38),0)</f>
        <v>0</v>
      </c>
      <c r="V22" s="53">
        <f>IF(AND($D22&lt;=V$17,$E22&gt;=V$16),$C22*NETWORKDAYS(MAX($D22,V$16),MIN($E22,V$17),Libur!$A$2:$A$38)/NETWORKDAYS($D22,$E22,Libur!$A$2:$A$38),0)</f>
        <v>0</v>
      </c>
      <c r="W22" s="53">
        <f>IF(AND($D22&lt;=W$17,$E22&gt;=W$16),$C22*NETWORKDAYS(MAX($D22,W$16),MIN($E22,W$17),Libur!$A$2:$A$38)/NETWORKDAYS($D22,$E22,Libur!$A$2:$A$38),0)</f>
        <v>0</v>
      </c>
      <c r="X22" s="53">
        <f>IF(AND($D22&lt;=X$17,$E22&gt;=X$16),$C22*NETWORKDAYS(MAX($D22,X$16),MIN($E22,X$17),Libur!$A$2:$A$38)/NETWORKDAYS($D22,$E22,Libur!$A$2:$A$38),0)</f>
        <v>0</v>
      </c>
      <c r="Y22" s="53">
        <f>IF(AND($D22&lt;=Y$17,$E22&gt;=Y$16),$C22*NETWORKDAYS(MAX($D22,Y$16),MIN($E22,Y$17),Libur!$A$2:$A$38)/NETWORKDAYS($D22,$E22,Libur!$A$2:$A$38),0)</f>
        <v>0</v>
      </c>
      <c r="Z22" s="53">
        <f>IF(AND($D22&lt;=Z$17,$E22&gt;=Z$16),$C22*NETWORKDAYS(MAX($D22,Z$16),MIN($E22,Z$17),Libur!$A$2:$A$38)/NETWORKDAYS($D22,$E22,Libur!$A$2:$A$38),0)</f>
        <v>0</v>
      </c>
      <c r="AA22" s="53">
        <f>IF(AND($D22&lt;=AA$17,$E22&gt;=AA$16),$C22*NETWORKDAYS(MAX($D22,AA$16),MIN($E22,AA$17),Libur!$A$2:$A$38)/NETWORKDAYS($D22,$E22,Libur!$A$2:$A$38),0)</f>
        <v>0</v>
      </c>
      <c r="AB22" s="53">
        <f>IF(AND($D22&lt;=AB$17,$E22&gt;=AB$16),$C22*NETWORKDAYS(MAX($D22,AB$16),MIN($E22,AB$17),Libur!$A$2:$A$38)/NETWORKDAYS($D22,$E22,Libur!$A$2:$A$38),0)</f>
        <v>0</v>
      </c>
      <c r="AC22" s="53">
        <f>IF(AND($D22&lt;=AC$17,$E22&gt;=AC$16),$C22*NETWORKDAYS(MAX($D22,AC$16),MIN($E22,AC$17),Libur!$A$2:$A$38)/NETWORKDAYS($D22,$E22,Libur!$A$2:$A$38),0)</f>
        <v>0</v>
      </c>
      <c r="AD22" s="53">
        <f>IF(AND($D22&lt;=AD$17,$E22&gt;=AD$16),$C22*NETWORKDAYS(MAX($D22,AD$16),MIN($E22,AD$17),Libur!$A$2:$A$38)/NETWORKDAYS($D22,$E22,Libur!$A$2:$A$38),0)</f>
        <v>0</v>
      </c>
      <c r="AE22" s="53">
        <f>IF(AND($D22&lt;=AE$17,$E22&gt;=AE$16),$C22*NETWORKDAYS(MAX($D22,AE$16),MIN($E22,AE$17),Libur!$A$2:$A$38)/NETWORKDAYS($D22,$E22,Libur!$A$2:$A$38),0)</f>
        <v>0</v>
      </c>
      <c r="AF22" s="53">
        <f>IF(AND($D22&lt;=AF$17,$E22&gt;=AF$16),$C22*NETWORKDAYS(MAX($D22,AF$16),MIN($E22,AF$17),Libur!$A$2:$A$38)/NETWORKDAYS($D22,$E22,Libur!$A$2:$A$38),0)</f>
        <v>0</v>
      </c>
      <c r="AG22" s="53">
        <f>IF(AND($D22&lt;=AG$17,$E22&gt;=AG$16),$C22*NETWORKDAYS(MAX($D22,AG$16),MIN($E22,AG$17),Libur!$A$2:$A$38)/NETWORKDAYS($D22,$E22,Libur!$A$2:$A$38),0)</f>
        <v>0</v>
      </c>
      <c r="AH22" s="53">
        <f>IF(AND($D22&lt;=AH$17,$E22&gt;=AH$16),$C22*NETWORKDAYS(MAX($D22,AH$16),MIN($E22,AH$17),Libur!$A$2:$A$38)/NETWORKDAYS($D22,$E22,Libur!$A$2:$A$38),0)</f>
        <v>0</v>
      </c>
      <c r="AI22" s="53">
        <f>IF(AND($D22&lt;=AI$17,$E22&gt;=AI$16),$C22*NETWORKDAYS(MAX($D22,AI$16),MIN($E22,AI$17),Libur!$A$2:$A$38)/NETWORKDAYS($D22,$E22,Libur!$A$2:$A$38),0)</f>
        <v>0</v>
      </c>
      <c r="AJ22" s="53">
        <f>IF(AND($D22&lt;=AJ$17,$E22&gt;=AJ$16),$C22*NETWORKDAYS(MAX($D22,AJ$16),MIN($E22,AJ$17),Libur!$A$2:$A$38)/NETWORKDAYS($D22,$E22,Libur!$A$2:$A$38),0)</f>
        <v>0</v>
      </c>
      <c r="AK22" s="53">
        <f>IF(AND($D22&lt;=AK$17,$E22&gt;=AK$16),$C22*NETWORKDAYS(MAX($D22,AK$16),MIN($E22,AK$17),Libur!$A$2:$A$38)/NETWORKDAYS($D22,$E22,Libur!$A$2:$A$38),0)</f>
        <v>0</v>
      </c>
      <c r="AL22" s="53">
        <f>IF(AND($D22&lt;=AL$17,$E22&gt;=AL$16),$C22*NETWORKDAYS(MAX($D22,AL$16),MIN($E22,AL$17),Libur!$A$2:$A$38)/NETWORKDAYS($D22,$E22,Libur!$A$2:$A$38),0)</f>
        <v>0</v>
      </c>
      <c r="AM22" s="53">
        <f>IF(AND($D22&lt;=AM$17,$E22&gt;=AM$16),$C22*NETWORKDAYS(MAX($D22,AM$16),MIN($E22,AM$17),Libur!$A$2:$A$38)/NETWORKDAYS($D22,$E22,Libur!$A$2:$A$38),0)</f>
        <v>0</v>
      </c>
      <c r="AN22" s="53">
        <f>IF(AND($D22&lt;=AN$17,$E22&gt;=AN$16),$C22*NETWORKDAYS(MAX($D22,AN$16),MIN($E22,AN$17),Libur!$A$2:$A$38)/NETWORKDAYS($D22,$E22,Libur!$A$2:$A$38),0)</f>
        <v>0</v>
      </c>
      <c r="AO22" s="53">
        <f>IF(AND($D22&lt;=AO$17,$E22&gt;=AO$16),$C22*NETWORKDAYS(MAX($D22,AO$16),MIN($E22,AO$17),Libur!$A$2:$A$38)/NETWORKDAYS($D22,$E22,Libur!$A$2:$A$38),0)</f>
        <v>0</v>
      </c>
      <c r="AP22" s="53">
        <f>IF(AND($D22&lt;=AP$17,$E22&gt;=AP$16),$C22*NETWORKDAYS(MAX($D22,AP$16),MIN($E22,AP$17),Libur!$A$2:$A$38)/NETWORKDAYS($D22,$E22,Libur!$A$2:$A$38),0)</f>
        <v>0</v>
      </c>
      <c r="AQ22" s="53">
        <f>IF(AND($D22&lt;=AQ$17,$E22&gt;=AQ$16),$C22*NETWORKDAYS(MAX($D22,AQ$16),MIN($E22,AQ$17),Libur!$A$2:$A$38)/NETWORKDAYS($D22,$E22,Libur!$A$2:$A$38),0)</f>
        <v>0</v>
      </c>
      <c r="AR22" s="53">
        <f>IF(AND($D22&lt;=AR$17,$E22&gt;=AR$16),$C22*NETWORKDAYS(MAX($D22,AR$16),MIN($E22,AR$17),Libur!$A$2:$A$38)/NETWORKDAYS($D22,$E22,Libur!$A$2:$A$38),0)</f>
        <v>0</v>
      </c>
      <c r="AS22" s="53">
        <f>IF(AND($D22&lt;=AS$17,$E22&gt;=AS$16),$C22*NETWORKDAYS(MAX($D22,AS$16),MIN($E22,AS$17),Libur!$A$2:$A$38)/NETWORKDAYS($D22,$E22,Libur!$A$2:$A$38),0)</f>
        <v>0</v>
      </c>
      <c r="AT22" s="53">
        <f>IF(AND($D22&lt;=AT$17,$E22&gt;=AT$16),$C22*NETWORKDAYS(MAX($D22,AT$16),MIN($E22,AT$17),Libur!$A$2:$A$38)/NETWORKDAYS($D22,$E22,Libur!$A$2:$A$38),0)</f>
        <v>0</v>
      </c>
      <c r="AU22" s="53">
        <f>IF(AND($D22&lt;=AU$17,$E22&gt;=AU$16),$C22*NETWORKDAYS(MAX($D22,AU$16),MIN($E22,AU$17),Libur!$A$2:$A$38)/NETWORKDAYS($D22,$E22,Libur!$A$2:$A$38),0)</f>
        <v>0</v>
      </c>
      <c r="AV22" s="53">
        <f>IF(AND($D22&lt;=AV$17,$E22&gt;=AV$16),$C22*NETWORKDAYS(MAX($D22,AV$16),MIN($E22,AV$17),Libur!$A$2:$A$38)/NETWORKDAYS($D22,$E22,Libur!$A$2:$A$38),0)</f>
        <v>0</v>
      </c>
      <c r="AW22" s="53">
        <f>IF(AND($D22&lt;=AW$17,$E22&gt;=AW$16),$C22*NETWORKDAYS(MAX($D22,AW$16),MIN($E22,AW$17),Libur!$A$2:$A$38)/NETWORKDAYS($D22,$E22,Libur!$A$2:$A$38),0)</f>
        <v>0</v>
      </c>
      <c r="AX22" s="53">
        <f>IF(AND($D22&lt;=AX$17,$E22&gt;=AX$16),$C22*NETWORKDAYS(MAX($D22,AX$16),MIN($E22,AX$17),Libur!$A$2:$A$38)/NETWORKDAYS($D22,$E22,Libur!$A$2:$A$38),0)</f>
        <v>0</v>
      </c>
      <c r="AY22" s="53">
        <f>IF(AND($D22&lt;=AY$17,$E22&gt;=AY$16),$C22*NETWORKDAYS(MAX($D22,AY$16),MIN($E22,AY$17),Libur!$A$2:$A$38)/NETWORKDAYS($D22,$E22,Libur!$A$2:$A$38),0)</f>
        <v>0</v>
      </c>
      <c r="AZ22" s="53">
        <f>IF(AND($D22&lt;=AZ$17,$E22&gt;=AZ$16),$C22*NETWORKDAYS(MAX($D22,AZ$16),MIN($E22,AZ$17),Libur!$A$2:$A$38)/NETWORKDAYS($D22,$E22,Libur!$A$2:$A$38),0)</f>
        <v>0</v>
      </c>
      <c r="BA22" s="53">
        <f>IF(AND($D22&lt;=BA$17,$E22&gt;=BA$16),$C22*NETWORKDAYS(MAX($D22,BA$16),MIN($E22,BA$17),Libur!$A$2:$A$38)/NETWORKDAYS($D22,$E22,Libur!$A$2:$A$38),0)</f>
        <v>0</v>
      </c>
      <c r="BB22" s="53">
        <f>IF(AND($D22&lt;=BB$17,$E22&gt;=BB$16),$C22*NETWORKDAYS(MAX($D22,BB$16),MIN($E22,BB$17),Libur!$A$2:$A$38)/NETWORKDAYS($D22,$E22,Libur!$A$2:$A$38),0)</f>
        <v>0</v>
      </c>
      <c r="BC22" s="53">
        <f>IF(AND($D22&lt;=BC$17,$E22&gt;=BC$16),$C22*NETWORKDAYS(MAX($D22,BC$16),MIN($E22,BC$17),Libur!$A$2:$A$38)/NETWORKDAYS($D22,$E22,Libur!$A$2:$A$38),0)</f>
        <v>0</v>
      </c>
      <c r="BD22" s="53">
        <f>IF(AND($D22&lt;=BD$17,$E22&gt;=BD$16),$C22*NETWORKDAYS(MAX($D22,BD$16),MIN($E22,BD$17),Libur!$A$2:$A$38)/NETWORKDAYS($D22,$E22,Libur!$A$2:$A$38),0)</f>
        <v>0</v>
      </c>
      <c r="BE22" s="53">
        <f>IF(AND($D22&lt;=BE$17,$E22&gt;=BE$16),$C22*NETWORKDAYS(MAX($D22,BE$16),MIN($E22,BE$17),Libur!$A$2:$A$38)/NETWORKDAYS($D22,$E22,Libur!$A$2:$A$38),0)</f>
        <v>0</v>
      </c>
      <c r="BF22" s="53">
        <f>IF(AND($D22&lt;=BF$17,$E22&gt;=BF$16),$C22*NETWORKDAYS(MAX($D22,BF$16),MIN($E22,BF$17),Libur!$A$2:$A$38)/NETWORKDAYS($D22,$E22,Libur!$A$2:$A$38),0)</f>
        <v>0</v>
      </c>
      <c r="BG22" s="53">
        <f>IF(AND($D22&lt;=BG$17,$E22&gt;=BG$16),$C22*NETWORKDAYS(MAX($D22,BG$16),MIN($E22,BG$17),Libur!$A$2:$A$38)/NETWORKDAYS($D22,$E22,Libur!$A$2:$A$38),0)</f>
        <v>0</v>
      </c>
      <c r="BH22" s="53">
        <f>IF(AND($D22&lt;=BH$17,$E22&gt;=BH$16),$C22*NETWORKDAYS(MAX($D22,BH$16),MIN($E22,BH$17),Libur!$A$2:$A$38)/NETWORKDAYS($D22,$E22,Libur!$A$2:$A$38),0)</f>
        <v>0</v>
      </c>
      <c r="BI22" s="53">
        <f>IF(AND($D22&lt;=BI$17,$E22&gt;=BI$16),$C22*NETWORKDAYS(MAX($D22,BI$16),MIN($E22,BI$17),Libur!$A$2:$A$38)/NETWORKDAYS($D22,$E22,Libur!$A$2:$A$38),0)</f>
        <v>0</v>
      </c>
      <c r="BJ22" s="53">
        <f>IF(AND($D22&lt;=BJ$17,$E22&gt;=BJ$16),$C22*NETWORKDAYS(MAX($D22,BJ$16),MIN($E22,BJ$17),Libur!$A$2:$A$38)/NETWORKDAYS($D22,$E22,Libur!$A$2:$A$38),0)</f>
        <v>0</v>
      </c>
      <c r="BK22" s="53">
        <f>IF(AND($D22&lt;=BK$17,$E22&gt;=BK$16),$C22*NETWORKDAYS(MAX($D22,BK$16),MIN($E22,BK$17),Libur!$A$2:$A$38)/NETWORKDAYS($D22,$E22,Libur!$A$2:$A$38),0)</f>
        <v>0</v>
      </c>
    </row>
    <row r="23" spans="1:63" x14ac:dyDescent="0.25">
      <c r="A23" s="45"/>
      <c r="B23" s="46"/>
      <c r="C23" s="48"/>
      <c r="D23" s="47"/>
      <c r="E23" s="47"/>
      <c r="F23" s="48"/>
      <c r="G23" s="48"/>
      <c r="H23" s="49"/>
      <c r="I23" s="48"/>
      <c r="J23" s="48"/>
      <c r="K23" s="48"/>
      <c r="L23" s="48"/>
      <c r="M23" s="48"/>
      <c r="N23" s="51"/>
      <c r="O23" s="52"/>
      <c r="P23" s="53">
        <f>IF(AND($D23&lt;=P$17,$E23&gt;=P$16),$C23*NETWORKDAYS(MAX($D23,P$16),MIN($E23,P$17),Libur!$A$2:$A$38)/NETWORKDAYS($D23,$E23,Libur!$A$2:$A$38),0)</f>
        <v>0</v>
      </c>
      <c r="Q23" s="53">
        <f>IF(AND($D23&lt;=Q$17,$E23&gt;=Q$16),$C23*NETWORKDAYS(MAX($D23,Q$16),MIN($E23,Q$17),Libur!$A$2:$A$38)/NETWORKDAYS($D23,$E23,Libur!$A$2:$A$38),0)</f>
        <v>0</v>
      </c>
      <c r="R23" s="53">
        <f>IF(AND($D23&lt;=R$17,$E23&gt;=R$16),$C23*NETWORKDAYS(MAX($D23,R$16),MIN($E23,R$17),Libur!$A$2:$A$38)/NETWORKDAYS($D23,$E23,Libur!$A$2:$A$38),0)</f>
        <v>0</v>
      </c>
      <c r="S23" s="53">
        <f>IF(AND($D23&lt;=S$17,$E23&gt;=S$16),$C23*NETWORKDAYS(MAX($D23,S$16),MIN($E23,S$17),Libur!$A$2:$A$38)/NETWORKDAYS($D23,$E23,Libur!$A$2:$A$38),0)</f>
        <v>0</v>
      </c>
      <c r="T23" s="53">
        <f>IF(AND($D23&lt;=T$17,$E23&gt;=T$16),$C23*NETWORKDAYS(MAX($D23,T$16),MIN($E23,T$17),Libur!$A$2:$A$38)/NETWORKDAYS($D23,$E23,Libur!$A$2:$A$38),0)</f>
        <v>0</v>
      </c>
      <c r="U23" s="53">
        <f>IF(AND($D23&lt;=U$17,$E23&gt;=U$16),$C23*NETWORKDAYS(MAX($D23,U$16),MIN($E23,U$17),Libur!$A$2:$A$38)/NETWORKDAYS($D23,$E23,Libur!$A$2:$A$38),0)</f>
        <v>0</v>
      </c>
      <c r="V23" s="53">
        <f>IF(AND($D23&lt;=V$17,$E23&gt;=V$16),$C23*NETWORKDAYS(MAX($D23,V$16),MIN($E23,V$17),Libur!$A$2:$A$38)/NETWORKDAYS($D23,$E23,Libur!$A$2:$A$38),0)</f>
        <v>0</v>
      </c>
      <c r="W23" s="53">
        <f>IF(AND($D23&lt;=W$17,$E23&gt;=W$16),$C23*NETWORKDAYS(MAX($D23,W$16),MIN($E23,W$17),Libur!$A$2:$A$38)/NETWORKDAYS($D23,$E23,Libur!$A$2:$A$38),0)</f>
        <v>0</v>
      </c>
      <c r="X23" s="53">
        <f>IF(AND($D23&lt;=X$17,$E23&gt;=X$16),$C23*NETWORKDAYS(MAX($D23,X$16),MIN($E23,X$17),Libur!$A$2:$A$38)/NETWORKDAYS($D23,$E23,Libur!$A$2:$A$38),0)</f>
        <v>0</v>
      </c>
      <c r="Y23" s="53">
        <f>IF(AND($D23&lt;=Y$17,$E23&gt;=Y$16),$C23*NETWORKDAYS(MAX($D23,Y$16),MIN($E23,Y$17),Libur!$A$2:$A$38)/NETWORKDAYS($D23,$E23,Libur!$A$2:$A$38),0)</f>
        <v>0</v>
      </c>
      <c r="Z23" s="53">
        <f>IF(AND($D23&lt;=Z$17,$E23&gt;=Z$16),$C23*NETWORKDAYS(MAX($D23,Z$16),MIN($E23,Z$17),Libur!$A$2:$A$38)/NETWORKDAYS($D23,$E23,Libur!$A$2:$A$38),0)</f>
        <v>0</v>
      </c>
      <c r="AA23" s="53">
        <f>IF(AND($D23&lt;=AA$17,$E23&gt;=AA$16),$C23*NETWORKDAYS(MAX($D23,AA$16),MIN($E23,AA$17),Libur!$A$2:$A$38)/NETWORKDAYS($D23,$E23,Libur!$A$2:$A$38),0)</f>
        <v>0</v>
      </c>
      <c r="AB23" s="53">
        <f>IF(AND($D23&lt;=AB$17,$E23&gt;=AB$16),$C23*NETWORKDAYS(MAX($D23,AB$16),MIN($E23,AB$17),Libur!$A$2:$A$38)/NETWORKDAYS($D23,$E23,Libur!$A$2:$A$38),0)</f>
        <v>0</v>
      </c>
      <c r="AC23" s="53">
        <f>IF(AND($D23&lt;=AC$17,$E23&gt;=AC$16),$C23*NETWORKDAYS(MAX($D23,AC$16),MIN($E23,AC$17),Libur!$A$2:$A$38)/NETWORKDAYS($D23,$E23,Libur!$A$2:$A$38),0)</f>
        <v>0</v>
      </c>
      <c r="AD23" s="53">
        <f>IF(AND($D23&lt;=AD$17,$E23&gt;=AD$16),$C23*NETWORKDAYS(MAX($D23,AD$16),MIN($E23,AD$17),Libur!$A$2:$A$38)/NETWORKDAYS($D23,$E23,Libur!$A$2:$A$38),0)</f>
        <v>0</v>
      </c>
      <c r="AE23" s="53">
        <f>IF(AND($D23&lt;=AE$17,$E23&gt;=AE$16),$C23*NETWORKDAYS(MAX($D23,AE$16),MIN($E23,AE$17),Libur!$A$2:$A$38)/NETWORKDAYS($D23,$E23,Libur!$A$2:$A$38),0)</f>
        <v>0</v>
      </c>
      <c r="AF23" s="53">
        <f>IF(AND($D23&lt;=AF$17,$E23&gt;=AF$16),$C23*NETWORKDAYS(MAX($D23,AF$16),MIN($E23,AF$17),Libur!$A$2:$A$38)/NETWORKDAYS($D23,$E23,Libur!$A$2:$A$38),0)</f>
        <v>0</v>
      </c>
      <c r="AG23" s="53">
        <f>IF(AND($D23&lt;=AG$17,$E23&gt;=AG$16),$C23*NETWORKDAYS(MAX($D23,AG$16),MIN($E23,AG$17),Libur!$A$2:$A$38)/NETWORKDAYS($D23,$E23,Libur!$A$2:$A$38),0)</f>
        <v>0</v>
      </c>
      <c r="AH23" s="53">
        <f>IF(AND($D23&lt;=AH$17,$E23&gt;=AH$16),$C23*NETWORKDAYS(MAX($D23,AH$16),MIN($E23,AH$17),Libur!$A$2:$A$38)/NETWORKDAYS($D23,$E23,Libur!$A$2:$A$38),0)</f>
        <v>0</v>
      </c>
      <c r="AI23" s="53">
        <f>IF(AND($D23&lt;=AI$17,$E23&gt;=AI$16),$C23*NETWORKDAYS(MAX($D23,AI$16),MIN($E23,AI$17),Libur!$A$2:$A$38)/NETWORKDAYS($D23,$E23,Libur!$A$2:$A$38),0)</f>
        <v>0</v>
      </c>
      <c r="AJ23" s="53">
        <f>IF(AND($D23&lt;=AJ$17,$E23&gt;=AJ$16),$C23*NETWORKDAYS(MAX($D23,AJ$16),MIN($E23,AJ$17),Libur!$A$2:$A$38)/NETWORKDAYS($D23,$E23,Libur!$A$2:$A$38),0)</f>
        <v>0</v>
      </c>
      <c r="AK23" s="53">
        <f>IF(AND($D23&lt;=AK$17,$E23&gt;=AK$16),$C23*NETWORKDAYS(MAX($D23,AK$16),MIN($E23,AK$17),Libur!$A$2:$A$38)/NETWORKDAYS($D23,$E23,Libur!$A$2:$A$38),0)</f>
        <v>0</v>
      </c>
      <c r="AL23" s="53">
        <f>IF(AND($D23&lt;=AL$17,$E23&gt;=AL$16),$C23*NETWORKDAYS(MAX($D23,AL$16),MIN($E23,AL$17),Libur!$A$2:$A$38)/NETWORKDAYS($D23,$E23,Libur!$A$2:$A$38),0)</f>
        <v>0</v>
      </c>
      <c r="AM23" s="53">
        <f>IF(AND($D23&lt;=AM$17,$E23&gt;=AM$16),$C23*NETWORKDAYS(MAX($D23,AM$16),MIN($E23,AM$17),Libur!$A$2:$A$38)/NETWORKDAYS($D23,$E23,Libur!$A$2:$A$38),0)</f>
        <v>0</v>
      </c>
      <c r="AN23" s="53">
        <f>IF(AND($D23&lt;=AN$17,$E23&gt;=AN$16),$C23*NETWORKDAYS(MAX($D23,AN$16),MIN($E23,AN$17),Libur!$A$2:$A$38)/NETWORKDAYS($D23,$E23,Libur!$A$2:$A$38),0)</f>
        <v>0</v>
      </c>
      <c r="AO23" s="53">
        <f>IF(AND($D23&lt;=AO$17,$E23&gt;=AO$16),$C23*NETWORKDAYS(MAX($D23,AO$16),MIN($E23,AO$17),Libur!$A$2:$A$38)/NETWORKDAYS($D23,$E23,Libur!$A$2:$A$38),0)</f>
        <v>0</v>
      </c>
      <c r="AP23" s="53">
        <f>IF(AND($D23&lt;=AP$17,$E23&gt;=AP$16),$C23*NETWORKDAYS(MAX($D23,AP$16),MIN($E23,AP$17),Libur!$A$2:$A$38)/NETWORKDAYS($D23,$E23,Libur!$A$2:$A$38),0)</f>
        <v>0</v>
      </c>
      <c r="AQ23" s="53">
        <f>IF(AND($D23&lt;=AQ$17,$E23&gt;=AQ$16),$C23*NETWORKDAYS(MAX($D23,AQ$16),MIN($E23,AQ$17),Libur!$A$2:$A$38)/NETWORKDAYS($D23,$E23,Libur!$A$2:$A$38),0)</f>
        <v>0</v>
      </c>
      <c r="AR23" s="53">
        <f>IF(AND($D23&lt;=AR$17,$E23&gt;=AR$16),$C23*NETWORKDAYS(MAX($D23,AR$16),MIN($E23,AR$17),Libur!$A$2:$A$38)/NETWORKDAYS($D23,$E23,Libur!$A$2:$A$38),0)</f>
        <v>0</v>
      </c>
      <c r="AS23" s="53">
        <f>IF(AND($D23&lt;=AS$17,$E23&gt;=AS$16),$C23*NETWORKDAYS(MAX($D23,AS$16),MIN($E23,AS$17),Libur!$A$2:$A$38)/NETWORKDAYS($D23,$E23,Libur!$A$2:$A$38),0)</f>
        <v>0</v>
      </c>
      <c r="AT23" s="53">
        <f>IF(AND($D23&lt;=AT$17,$E23&gt;=AT$16),$C23*NETWORKDAYS(MAX($D23,AT$16),MIN($E23,AT$17),Libur!$A$2:$A$38)/NETWORKDAYS($D23,$E23,Libur!$A$2:$A$38),0)</f>
        <v>0</v>
      </c>
      <c r="AU23" s="53">
        <f>IF(AND($D23&lt;=AU$17,$E23&gt;=AU$16),$C23*NETWORKDAYS(MAX($D23,AU$16),MIN($E23,AU$17),Libur!$A$2:$A$38)/NETWORKDAYS($D23,$E23,Libur!$A$2:$A$38),0)</f>
        <v>0</v>
      </c>
      <c r="AV23" s="53">
        <f>IF(AND($D23&lt;=AV$17,$E23&gt;=AV$16),$C23*NETWORKDAYS(MAX($D23,AV$16),MIN($E23,AV$17),Libur!$A$2:$A$38)/NETWORKDAYS($D23,$E23,Libur!$A$2:$A$38),0)</f>
        <v>0</v>
      </c>
      <c r="AW23" s="53">
        <f>IF(AND($D23&lt;=AW$17,$E23&gt;=AW$16),$C23*NETWORKDAYS(MAX($D23,AW$16),MIN($E23,AW$17),Libur!$A$2:$A$38)/NETWORKDAYS($D23,$E23,Libur!$A$2:$A$38),0)</f>
        <v>0</v>
      </c>
      <c r="AX23" s="53">
        <f>IF(AND($D23&lt;=AX$17,$E23&gt;=AX$16),$C23*NETWORKDAYS(MAX($D23,AX$16),MIN($E23,AX$17),Libur!$A$2:$A$38)/NETWORKDAYS($D23,$E23,Libur!$A$2:$A$38),0)</f>
        <v>0</v>
      </c>
      <c r="AY23" s="53">
        <f>IF(AND($D23&lt;=AY$17,$E23&gt;=AY$16),$C23*NETWORKDAYS(MAX($D23,AY$16),MIN($E23,AY$17),Libur!$A$2:$A$38)/NETWORKDAYS($D23,$E23,Libur!$A$2:$A$38),0)</f>
        <v>0</v>
      </c>
      <c r="AZ23" s="53">
        <f>IF(AND($D23&lt;=AZ$17,$E23&gt;=AZ$16),$C23*NETWORKDAYS(MAX($D23,AZ$16),MIN($E23,AZ$17),Libur!$A$2:$A$38)/NETWORKDAYS($D23,$E23,Libur!$A$2:$A$38),0)</f>
        <v>0</v>
      </c>
      <c r="BA23" s="53">
        <f>IF(AND($D23&lt;=BA$17,$E23&gt;=BA$16),$C23*NETWORKDAYS(MAX($D23,BA$16),MIN($E23,BA$17),Libur!$A$2:$A$38)/NETWORKDAYS($D23,$E23,Libur!$A$2:$A$38),0)</f>
        <v>0</v>
      </c>
      <c r="BB23" s="53">
        <f>IF(AND($D23&lt;=BB$17,$E23&gt;=BB$16),$C23*NETWORKDAYS(MAX($D23,BB$16),MIN($E23,BB$17),Libur!$A$2:$A$38)/NETWORKDAYS($D23,$E23,Libur!$A$2:$A$38),0)</f>
        <v>0</v>
      </c>
      <c r="BC23" s="53">
        <f>IF(AND($D23&lt;=BC$17,$E23&gt;=BC$16),$C23*NETWORKDAYS(MAX($D23,BC$16),MIN($E23,BC$17),Libur!$A$2:$A$38)/NETWORKDAYS($D23,$E23,Libur!$A$2:$A$38),0)</f>
        <v>0</v>
      </c>
      <c r="BD23" s="53">
        <f>IF(AND($D23&lt;=BD$17,$E23&gt;=BD$16),$C23*NETWORKDAYS(MAX($D23,BD$16),MIN($E23,BD$17),Libur!$A$2:$A$38)/NETWORKDAYS($D23,$E23,Libur!$A$2:$A$38),0)</f>
        <v>0</v>
      </c>
      <c r="BE23" s="53">
        <f>IF(AND($D23&lt;=BE$17,$E23&gt;=BE$16),$C23*NETWORKDAYS(MAX($D23,BE$16),MIN($E23,BE$17),Libur!$A$2:$A$38)/NETWORKDAYS($D23,$E23,Libur!$A$2:$A$38),0)</f>
        <v>0</v>
      </c>
      <c r="BF23" s="53">
        <f>IF(AND($D23&lt;=BF$17,$E23&gt;=BF$16),$C23*NETWORKDAYS(MAX($D23,BF$16),MIN($E23,BF$17),Libur!$A$2:$A$38)/NETWORKDAYS($D23,$E23,Libur!$A$2:$A$38),0)</f>
        <v>0</v>
      </c>
      <c r="BG23" s="53">
        <f>IF(AND($D23&lt;=BG$17,$E23&gt;=BG$16),$C23*NETWORKDAYS(MAX($D23,BG$16),MIN($E23,BG$17),Libur!$A$2:$A$38)/NETWORKDAYS($D23,$E23,Libur!$A$2:$A$38),0)</f>
        <v>0</v>
      </c>
      <c r="BH23" s="53">
        <f>IF(AND($D23&lt;=BH$17,$E23&gt;=BH$16),$C23*NETWORKDAYS(MAX($D23,BH$16),MIN($E23,BH$17),Libur!$A$2:$A$38)/NETWORKDAYS($D23,$E23,Libur!$A$2:$A$38),0)</f>
        <v>0</v>
      </c>
      <c r="BI23" s="53">
        <f>IF(AND($D23&lt;=BI$17,$E23&gt;=BI$16),$C23*NETWORKDAYS(MAX($D23,BI$16),MIN($E23,BI$17),Libur!$A$2:$A$38)/NETWORKDAYS($D23,$E23,Libur!$A$2:$A$38),0)</f>
        <v>0</v>
      </c>
      <c r="BJ23" s="53">
        <f>IF(AND($D23&lt;=BJ$17,$E23&gt;=BJ$16),$C23*NETWORKDAYS(MAX($D23,BJ$16),MIN($E23,BJ$17),Libur!$A$2:$A$38)/NETWORKDAYS($D23,$E23,Libur!$A$2:$A$38),0)</f>
        <v>0</v>
      </c>
      <c r="BK23" s="53">
        <f>IF(AND($D23&lt;=BK$17,$E23&gt;=BK$16),$C23*NETWORKDAYS(MAX($D23,BK$16),MIN($E23,BK$17),Libur!$A$2:$A$38)/NETWORKDAYS($D23,$E23,Libur!$A$2:$A$38),0)</f>
        <v>0</v>
      </c>
    </row>
    <row r="24" spans="1:63" x14ac:dyDescent="0.25">
      <c r="A24" s="36" t="s">
        <v>75</v>
      </c>
      <c r="B24" s="9" t="s">
        <v>76</v>
      </c>
      <c r="C24" s="37">
        <f>SUM(C25:C26)</f>
        <v>0.04</v>
      </c>
      <c r="D24" s="38">
        <f>MIN(D25:D26)</f>
        <v>46151</v>
      </c>
      <c r="E24" s="38">
        <f>MAX(E25:E26)</f>
        <v>46161</v>
      </c>
      <c r="F24" s="7"/>
      <c r="G24" s="54"/>
      <c r="H24" s="40">
        <f>NETWORKDAYS(D24,E24,Hari_Libur)</f>
        <v>5</v>
      </c>
      <c r="I24" s="41">
        <f>IF(C24=0,0,J24/C24)</f>
        <v>0.5</v>
      </c>
      <c r="J24" s="41">
        <f>SUM(J25:J26)</f>
        <v>0.02</v>
      </c>
      <c r="K24" s="41">
        <f>IF(C24=0,0,L24/C24)</f>
        <v>0.5</v>
      </c>
      <c r="L24" s="41">
        <f>SUM(L25:L26)</f>
        <v>0.02</v>
      </c>
      <c r="M24" s="41">
        <f>SUM(M25:M26)</f>
        <v>0</v>
      </c>
      <c r="N24" s="54"/>
      <c r="O24" s="52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</row>
    <row r="25" spans="1:63" x14ac:dyDescent="0.25">
      <c r="A25" s="45"/>
      <c r="B25" s="55" t="s">
        <v>77</v>
      </c>
      <c r="C25" s="48">
        <v>0.02</v>
      </c>
      <c r="D25" s="47">
        <v>46151</v>
      </c>
      <c r="E25" s="47">
        <v>46155</v>
      </c>
      <c r="F25" s="7">
        <f>C25</f>
        <v>0.02</v>
      </c>
      <c r="G25" s="48">
        <f>SUM(P25:AZ25)</f>
        <v>0.02</v>
      </c>
      <c r="H25" s="49">
        <f>NETWORKDAYS(D25,E25,Hari_Libur)</f>
        <v>3</v>
      </c>
      <c r="I25" s="50">
        <f>IF($C$8&gt;=E25,1,IF($C$8&lt;D25,0,IF(NETWORKDAYS(D25,E25,Hari_Libur)=0,0,NETWORKDAYS(D25,$C$8,Hari_Libur)/NETWORKDAYS(D25,E25,Hari_Libur))))</f>
        <v>1</v>
      </c>
      <c r="J25" s="50">
        <f>I25*F25</f>
        <v>0.02</v>
      </c>
      <c r="K25" s="50">
        <v>1</v>
      </c>
      <c r="L25" s="50">
        <f>C25*K25</f>
        <v>0.02</v>
      </c>
      <c r="M25" s="50">
        <f>L25-J25</f>
        <v>0</v>
      </c>
      <c r="N25" s="51">
        <f>C25</f>
        <v>0.02</v>
      </c>
      <c r="O25" s="52">
        <f>SUM(P25:BK25)</f>
        <v>0.02</v>
      </c>
      <c r="P25" s="53">
        <f t="shared" ref="P25:Y26" si="3">IF(AND($D25&lt;=P$17,$E25&gt;=P$16),$C25*NETWORKDAYS(MAX($D25,P$16),MIN($E25,P$17),Hari_Libur)/NETWORKDAYS($D25,$E25,Hari_Libur),0)</f>
        <v>0.02</v>
      </c>
      <c r="Q25" s="53">
        <f t="shared" si="3"/>
        <v>0</v>
      </c>
      <c r="R25" s="53">
        <f t="shared" si="3"/>
        <v>0</v>
      </c>
      <c r="S25" s="53">
        <f t="shared" si="3"/>
        <v>0</v>
      </c>
      <c r="T25" s="53">
        <f t="shared" si="3"/>
        <v>0</v>
      </c>
      <c r="U25" s="53">
        <f t="shared" si="3"/>
        <v>0</v>
      </c>
      <c r="V25" s="53">
        <f t="shared" si="3"/>
        <v>0</v>
      </c>
      <c r="W25" s="53">
        <f t="shared" si="3"/>
        <v>0</v>
      </c>
      <c r="X25" s="53">
        <f t="shared" si="3"/>
        <v>0</v>
      </c>
      <c r="Y25" s="53">
        <f t="shared" si="3"/>
        <v>0</v>
      </c>
      <c r="Z25" s="53">
        <f t="shared" ref="Z25:AI26" si="4">IF(AND($D25&lt;=Z$17,$E25&gt;=Z$16),$C25*NETWORKDAYS(MAX($D25,Z$16),MIN($E25,Z$17),Hari_Libur)/NETWORKDAYS($D25,$E25,Hari_Libur),0)</f>
        <v>0</v>
      </c>
      <c r="AA25" s="53">
        <f t="shared" si="4"/>
        <v>0</v>
      </c>
      <c r="AB25" s="53">
        <f t="shared" si="4"/>
        <v>0</v>
      </c>
      <c r="AC25" s="53">
        <f t="shared" si="4"/>
        <v>0</v>
      </c>
      <c r="AD25" s="53">
        <f t="shared" si="4"/>
        <v>0</v>
      </c>
      <c r="AE25" s="53">
        <f t="shared" si="4"/>
        <v>0</v>
      </c>
      <c r="AF25" s="53">
        <f t="shared" si="4"/>
        <v>0</v>
      </c>
      <c r="AG25" s="53">
        <f t="shared" si="4"/>
        <v>0</v>
      </c>
      <c r="AH25" s="53">
        <f t="shared" si="4"/>
        <v>0</v>
      </c>
      <c r="AI25" s="53">
        <f t="shared" si="4"/>
        <v>0</v>
      </c>
      <c r="AJ25" s="53">
        <f t="shared" ref="AJ25:AS26" si="5">IF(AND($D25&lt;=AJ$17,$E25&gt;=AJ$16),$C25*NETWORKDAYS(MAX($D25,AJ$16),MIN($E25,AJ$17),Hari_Libur)/NETWORKDAYS($D25,$E25,Hari_Libur),0)</f>
        <v>0</v>
      </c>
      <c r="AK25" s="53">
        <f t="shared" si="5"/>
        <v>0</v>
      </c>
      <c r="AL25" s="53">
        <f t="shared" si="5"/>
        <v>0</v>
      </c>
      <c r="AM25" s="53">
        <f t="shared" si="5"/>
        <v>0</v>
      </c>
      <c r="AN25" s="53">
        <f t="shared" si="5"/>
        <v>0</v>
      </c>
      <c r="AO25" s="53">
        <f t="shared" si="5"/>
        <v>0</v>
      </c>
      <c r="AP25" s="53">
        <f t="shared" si="5"/>
        <v>0</v>
      </c>
      <c r="AQ25" s="53">
        <f t="shared" si="5"/>
        <v>0</v>
      </c>
      <c r="AR25" s="53">
        <f t="shared" si="5"/>
        <v>0</v>
      </c>
      <c r="AS25" s="53">
        <f t="shared" si="5"/>
        <v>0</v>
      </c>
      <c r="AT25" s="53">
        <f t="shared" ref="AT25:BC26" si="6">IF(AND($D25&lt;=AT$17,$E25&gt;=AT$16),$C25*NETWORKDAYS(MAX($D25,AT$16),MIN($E25,AT$17),Hari_Libur)/NETWORKDAYS($D25,$E25,Hari_Libur),0)</f>
        <v>0</v>
      </c>
      <c r="AU25" s="53">
        <f t="shared" si="6"/>
        <v>0</v>
      </c>
      <c r="AV25" s="53">
        <f t="shared" si="6"/>
        <v>0</v>
      </c>
      <c r="AW25" s="53">
        <f t="shared" si="6"/>
        <v>0</v>
      </c>
      <c r="AX25" s="53">
        <f t="shared" si="6"/>
        <v>0</v>
      </c>
      <c r="AY25" s="53">
        <f t="shared" si="6"/>
        <v>0</v>
      </c>
      <c r="AZ25" s="53">
        <f t="shared" si="6"/>
        <v>0</v>
      </c>
      <c r="BA25" s="53">
        <f t="shared" si="6"/>
        <v>0</v>
      </c>
      <c r="BB25" s="53">
        <f t="shared" si="6"/>
        <v>0</v>
      </c>
      <c r="BC25" s="53">
        <f t="shared" si="6"/>
        <v>0</v>
      </c>
      <c r="BD25" s="53">
        <f t="shared" ref="BD25:BK26" si="7">IF(AND($D25&lt;=BD$17,$E25&gt;=BD$16),$C25*NETWORKDAYS(MAX($D25,BD$16),MIN($E25,BD$17),Hari_Libur)/NETWORKDAYS($D25,$E25,Hari_Libur),0)</f>
        <v>0</v>
      </c>
      <c r="BE25" s="53">
        <f t="shared" si="7"/>
        <v>0</v>
      </c>
      <c r="BF25" s="53">
        <f t="shared" si="7"/>
        <v>0</v>
      </c>
      <c r="BG25" s="53">
        <f t="shared" si="7"/>
        <v>0</v>
      </c>
      <c r="BH25" s="53">
        <f t="shared" si="7"/>
        <v>0</v>
      </c>
      <c r="BI25" s="53">
        <f t="shared" si="7"/>
        <v>0</v>
      </c>
      <c r="BJ25" s="53">
        <f t="shared" si="7"/>
        <v>0</v>
      </c>
      <c r="BK25" s="53">
        <f t="shared" si="7"/>
        <v>0</v>
      </c>
    </row>
    <row r="26" spans="1:63" x14ac:dyDescent="0.25">
      <c r="A26" s="45"/>
      <c r="B26" s="55" t="s">
        <v>78</v>
      </c>
      <c r="C26" s="48">
        <v>0.02</v>
      </c>
      <c r="D26" s="47">
        <v>46160</v>
      </c>
      <c r="E26" s="47">
        <v>46161</v>
      </c>
      <c r="F26" s="7">
        <f>C26</f>
        <v>0.02</v>
      </c>
      <c r="G26" s="48">
        <f>SUM(P26:AZ26)</f>
        <v>0.02</v>
      </c>
      <c r="H26" s="49">
        <f>NETWORKDAYS(D26,E26,Hari_Libur)</f>
        <v>2</v>
      </c>
      <c r="I26" s="50">
        <f>IF($C$8&gt;=E26,1,IF($C$8&lt;D26,0,IF(NETWORKDAYS(D26,E26,Hari_Libur)=0,0,NETWORKDAYS(D26,$C$8,Hari_Libur)/NETWORKDAYS(D26,E26,Hari_Libur))))</f>
        <v>0</v>
      </c>
      <c r="J26" s="50">
        <f>I26*F26</f>
        <v>0</v>
      </c>
      <c r="K26" s="50">
        <v>0</v>
      </c>
      <c r="L26" s="50">
        <f>C26*K26</f>
        <v>0</v>
      </c>
      <c r="M26" s="50">
        <f>L26-J26</f>
        <v>0</v>
      </c>
      <c r="N26" s="51">
        <f>C26</f>
        <v>0.02</v>
      </c>
      <c r="O26" s="52">
        <f>SUM(P26:BK26)</f>
        <v>0.02</v>
      </c>
      <c r="P26" s="53">
        <f t="shared" si="3"/>
        <v>0</v>
      </c>
      <c r="Q26" s="53">
        <f t="shared" si="3"/>
        <v>0.02</v>
      </c>
      <c r="R26" s="53">
        <f t="shared" si="3"/>
        <v>0</v>
      </c>
      <c r="S26" s="53">
        <f t="shared" si="3"/>
        <v>0</v>
      </c>
      <c r="T26" s="53">
        <f t="shared" si="3"/>
        <v>0</v>
      </c>
      <c r="U26" s="53">
        <f t="shared" si="3"/>
        <v>0</v>
      </c>
      <c r="V26" s="53">
        <f t="shared" si="3"/>
        <v>0</v>
      </c>
      <c r="W26" s="53">
        <f t="shared" si="3"/>
        <v>0</v>
      </c>
      <c r="X26" s="53">
        <f t="shared" si="3"/>
        <v>0</v>
      </c>
      <c r="Y26" s="53">
        <f t="shared" si="3"/>
        <v>0</v>
      </c>
      <c r="Z26" s="53">
        <f t="shared" si="4"/>
        <v>0</v>
      </c>
      <c r="AA26" s="53">
        <f t="shared" si="4"/>
        <v>0</v>
      </c>
      <c r="AB26" s="53">
        <f t="shared" si="4"/>
        <v>0</v>
      </c>
      <c r="AC26" s="53">
        <f t="shared" si="4"/>
        <v>0</v>
      </c>
      <c r="AD26" s="53">
        <f t="shared" si="4"/>
        <v>0</v>
      </c>
      <c r="AE26" s="53">
        <f t="shared" si="4"/>
        <v>0</v>
      </c>
      <c r="AF26" s="53">
        <f t="shared" si="4"/>
        <v>0</v>
      </c>
      <c r="AG26" s="53">
        <f t="shared" si="4"/>
        <v>0</v>
      </c>
      <c r="AH26" s="53">
        <f t="shared" si="4"/>
        <v>0</v>
      </c>
      <c r="AI26" s="53">
        <f t="shared" si="4"/>
        <v>0</v>
      </c>
      <c r="AJ26" s="53">
        <f t="shared" si="5"/>
        <v>0</v>
      </c>
      <c r="AK26" s="53">
        <f t="shared" si="5"/>
        <v>0</v>
      </c>
      <c r="AL26" s="53">
        <f t="shared" si="5"/>
        <v>0</v>
      </c>
      <c r="AM26" s="53">
        <f t="shared" si="5"/>
        <v>0</v>
      </c>
      <c r="AN26" s="53">
        <f t="shared" si="5"/>
        <v>0</v>
      </c>
      <c r="AO26" s="53">
        <f t="shared" si="5"/>
        <v>0</v>
      </c>
      <c r="AP26" s="53">
        <f t="shared" si="5"/>
        <v>0</v>
      </c>
      <c r="AQ26" s="53">
        <f t="shared" si="5"/>
        <v>0</v>
      </c>
      <c r="AR26" s="53">
        <f t="shared" si="5"/>
        <v>0</v>
      </c>
      <c r="AS26" s="53">
        <f t="shared" si="5"/>
        <v>0</v>
      </c>
      <c r="AT26" s="53">
        <f t="shared" si="6"/>
        <v>0</v>
      </c>
      <c r="AU26" s="53">
        <f t="shared" si="6"/>
        <v>0</v>
      </c>
      <c r="AV26" s="53">
        <f t="shared" si="6"/>
        <v>0</v>
      </c>
      <c r="AW26" s="53">
        <f t="shared" si="6"/>
        <v>0</v>
      </c>
      <c r="AX26" s="53">
        <f t="shared" si="6"/>
        <v>0</v>
      </c>
      <c r="AY26" s="53">
        <f t="shared" si="6"/>
        <v>0</v>
      </c>
      <c r="AZ26" s="53">
        <f t="shared" si="6"/>
        <v>0</v>
      </c>
      <c r="BA26" s="53">
        <f t="shared" si="6"/>
        <v>0</v>
      </c>
      <c r="BB26" s="53">
        <f t="shared" si="6"/>
        <v>0</v>
      </c>
      <c r="BC26" s="53">
        <f t="shared" si="6"/>
        <v>0</v>
      </c>
      <c r="BD26" s="53">
        <f t="shared" si="7"/>
        <v>0</v>
      </c>
      <c r="BE26" s="53">
        <f t="shared" si="7"/>
        <v>0</v>
      </c>
      <c r="BF26" s="53">
        <f t="shared" si="7"/>
        <v>0</v>
      </c>
      <c r="BG26" s="53">
        <f t="shared" si="7"/>
        <v>0</v>
      </c>
      <c r="BH26" s="53">
        <f t="shared" si="7"/>
        <v>0</v>
      </c>
      <c r="BI26" s="53">
        <f t="shared" si="7"/>
        <v>0</v>
      </c>
      <c r="BJ26" s="53">
        <f t="shared" si="7"/>
        <v>0</v>
      </c>
      <c r="BK26" s="53">
        <f t="shared" si="7"/>
        <v>0</v>
      </c>
    </row>
    <row r="27" spans="1:63" x14ac:dyDescent="0.25">
      <c r="A27" s="45"/>
      <c r="B27" s="55"/>
      <c r="C27" s="48"/>
      <c r="D27" s="47"/>
      <c r="E27" s="47"/>
      <c r="F27" s="7"/>
      <c r="G27" s="48"/>
      <c r="H27" s="49"/>
      <c r="I27" s="48"/>
      <c r="J27" s="48"/>
      <c r="K27" s="48"/>
      <c r="L27" s="48"/>
      <c r="M27" s="48"/>
      <c r="N27" s="51"/>
      <c r="O27" s="52"/>
      <c r="P27" s="53">
        <f>IF(AND($D27&lt;=P$17,$E27&gt;=P$16),$C27*NETWORKDAYS(MAX($D27,P$16),MIN($E27,P$17),Libur!$A$2:$A$38)/NETWORKDAYS($D27,$E27,Libur!$A$2:$A$38),0)</f>
        <v>0</v>
      </c>
      <c r="Q27" s="53">
        <f>IF(AND($D27&lt;=Q$17,$E27&gt;=Q$16),$C27*NETWORKDAYS(MAX($D27,Q$16),MIN($E27,Q$17),Libur!$A$2:$A$38)/NETWORKDAYS($D27,$E27,Libur!$A$2:$A$38),0)</f>
        <v>0</v>
      </c>
      <c r="R27" s="53">
        <f>IF(AND($D27&lt;=R$17,$E27&gt;=R$16),$C27*NETWORKDAYS(MAX($D27,R$16),MIN($E27,R$17),Libur!$A$2:$A$38)/NETWORKDAYS($D27,$E27,Libur!$A$2:$A$38),0)</f>
        <v>0</v>
      </c>
      <c r="S27" s="53">
        <f>IF(AND($D27&lt;=S$17,$E27&gt;=S$16),$C27*NETWORKDAYS(MAX($D27,S$16),MIN($E27,S$17),Libur!$A$2:$A$38)/NETWORKDAYS($D27,$E27,Libur!$A$2:$A$38),0)</f>
        <v>0</v>
      </c>
      <c r="T27" s="53">
        <f>IF(AND($D27&lt;=T$17,$E27&gt;=T$16),$C27*NETWORKDAYS(MAX($D27,T$16),MIN($E27,T$17),Libur!$A$2:$A$38)/NETWORKDAYS($D27,$E27,Libur!$A$2:$A$38),0)</f>
        <v>0</v>
      </c>
      <c r="U27" s="53">
        <f>IF(AND($D27&lt;=U$17,$E27&gt;=U$16),$C27*NETWORKDAYS(MAX($D27,U$16),MIN($E27,U$17),Libur!$A$2:$A$38)/NETWORKDAYS($D27,$E27,Libur!$A$2:$A$38),0)</f>
        <v>0</v>
      </c>
      <c r="V27" s="53">
        <f>IF(AND($D27&lt;=V$17,$E27&gt;=V$16),$C27*NETWORKDAYS(MAX($D27,V$16),MIN($E27,V$17),Libur!$A$2:$A$38)/NETWORKDAYS($D27,$E27,Libur!$A$2:$A$38),0)</f>
        <v>0</v>
      </c>
      <c r="W27" s="53">
        <f>IF(AND($D27&lt;=W$17,$E27&gt;=W$16),$C27*NETWORKDAYS(MAX($D27,W$16),MIN($E27,W$17),Libur!$A$2:$A$38)/NETWORKDAYS($D27,$E27,Libur!$A$2:$A$38),0)</f>
        <v>0</v>
      </c>
      <c r="X27" s="53">
        <f>IF(AND($D27&lt;=X$17,$E27&gt;=X$16),$C27*NETWORKDAYS(MAX($D27,X$16),MIN($E27,X$17),Libur!$A$2:$A$38)/NETWORKDAYS($D27,$E27,Libur!$A$2:$A$38),0)</f>
        <v>0</v>
      </c>
      <c r="Y27" s="53">
        <f>IF(AND($D27&lt;=Y$17,$E27&gt;=Y$16),$C27*NETWORKDAYS(MAX($D27,Y$16),MIN($E27,Y$17),Libur!$A$2:$A$38)/NETWORKDAYS($D27,$E27,Libur!$A$2:$A$38),0)</f>
        <v>0</v>
      </c>
      <c r="Z27" s="53">
        <f>IF(AND($D27&lt;=Z$17,$E27&gt;=Z$16),$C27*NETWORKDAYS(MAX($D27,Z$16),MIN($E27,Z$17),Libur!$A$2:$A$38)/NETWORKDAYS($D27,$E27,Libur!$A$2:$A$38),0)</f>
        <v>0</v>
      </c>
      <c r="AA27" s="53">
        <f>IF(AND($D27&lt;=AA$17,$E27&gt;=AA$16),$C27*NETWORKDAYS(MAX($D27,AA$16),MIN($E27,AA$17),Libur!$A$2:$A$38)/NETWORKDAYS($D27,$E27,Libur!$A$2:$A$38),0)</f>
        <v>0</v>
      </c>
      <c r="AB27" s="53">
        <f>IF(AND($D27&lt;=AB$17,$E27&gt;=AB$16),$C27*NETWORKDAYS(MAX($D27,AB$16),MIN($E27,AB$17),Libur!$A$2:$A$38)/NETWORKDAYS($D27,$E27,Libur!$A$2:$A$38),0)</f>
        <v>0</v>
      </c>
      <c r="AC27" s="53">
        <f>IF(AND($D27&lt;=AC$17,$E27&gt;=AC$16),$C27*NETWORKDAYS(MAX($D27,AC$16),MIN($E27,AC$17),Libur!$A$2:$A$38)/NETWORKDAYS($D27,$E27,Libur!$A$2:$A$38),0)</f>
        <v>0</v>
      </c>
      <c r="AD27" s="53">
        <f>IF(AND($D27&lt;=AD$17,$E27&gt;=AD$16),$C27*NETWORKDAYS(MAX($D27,AD$16),MIN($E27,AD$17),Libur!$A$2:$A$38)/NETWORKDAYS($D27,$E27,Libur!$A$2:$A$38),0)</f>
        <v>0</v>
      </c>
      <c r="AE27" s="53">
        <f>IF(AND($D27&lt;=AE$17,$E27&gt;=AE$16),$C27*NETWORKDAYS(MAX($D27,AE$16),MIN($E27,AE$17),Libur!$A$2:$A$38)/NETWORKDAYS($D27,$E27,Libur!$A$2:$A$38),0)</f>
        <v>0</v>
      </c>
      <c r="AF27" s="53">
        <f>IF(AND($D27&lt;=AF$17,$E27&gt;=AF$16),$C27*NETWORKDAYS(MAX($D27,AF$16),MIN($E27,AF$17),Libur!$A$2:$A$38)/NETWORKDAYS($D27,$E27,Libur!$A$2:$A$38),0)</f>
        <v>0</v>
      </c>
      <c r="AG27" s="53">
        <f>IF(AND($D27&lt;=AG$17,$E27&gt;=AG$16),$C27*NETWORKDAYS(MAX($D27,AG$16),MIN($E27,AG$17),Libur!$A$2:$A$38)/NETWORKDAYS($D27,$E27,Libur!$A$2:$A$38),0)</f>
        <v>0</v>
      </c>
      <c r="AH27" s="53">
        <f>IF(AND($D27&lt;=AH$17,$E27&gt;=AH$16),$C27*NETWORKDAYS(MAX($D27,AH$16),MIN($E27,AH$17),Libur!$A$2:$A$38)/NETWORKDAYS($D27,$E27,Libur!$A$2:$A$38),0)</f>
        <v>0</v>
      </c>
      <c r="AI27" s="53">
        <f>IF(AND($D27&lt;=AI$17,$E27&gt;=AI$16),$C27*NETWORKDAYS(MAX($D27,AI$16),MIN($E27,AI$17),Libur!$A$2:$A$38)/NETWORKDAYS($D27,$E27,Libur!$A$2:$A$38),0)</f>
        <v>0</v>
      </c>
      <c r="AJ27" s="53">
        <f>IF(AND($D27&lt;=AJ$17,$E27&gt;=AJ$16),$C27*NETWORKDAYS(MAX($D27,AJ$16),MIN($E27,AJ$17),Libur!$A$2:$A$38)/NETWORKDAYS($D27,$E27,Libur!$A$2:$A$38),0)</f>
        <v>0</v>
      </c>
      <c r="AK27" s="53">
        <f>IF(AND($D27&lt;=AK$17,$E27&gt;=AK$16),$C27*NETWORKDAYS(MAX($D27,AK$16),MIN($E27,AK$17),Libur!$A$2:$A$38)/NETWORKDAYS($D27,$E27,Libur!$A$2:$A$38),0)</f>
        <v>0</v>
      </c>
      <c r="AL27" s="53">
        <f>IF(AND($D27&lt;=AL$17,$E27&gt;=AL$16),$C27*NETWORKDAYS(MAX($D27,AL$16),MIN($E27,AL$17),Libur!$A$2:$A$38)/NETWORKDAYS($D27,$E27,Libur!$A$2:$A$38),0)</f>
        <v>0</v>
      </c>
      <c r="AM27" s="53">
        <f>IF(AND($D27&lt;=AM$17,$E27&gt;=AM$16),$C27*NETWORKDAYS(MAX($D27,AM$16),MIN($E27,AM$17),Libur!$A$2:$A$38)/NETWORKDAYS($D27,$E27,Libur!$A$2:$A$38),0)</f>
        <v>0</v>
      </c>
      <c r="AN27" s="53">
        <f>IF(AND($D27&lt;=AN$17,$E27&gt;=AN$16),$C27*NETWORKDAYS(MAX($D27,AN$16),MIN($E27,AN$17),Libur!$A$2:$A$38)/NETWORKDAYS($D27,$E27,Libur!$A$2:$A$38),0)</f>
        <v>0</v>
      </c>
      <c r="AO27" s="53">
        <f>IF(AND($D27&lt;=AO$17,$E27&gt;=AO$16),$C27*NETWORKDAYS(MAX($D27,AO$16),MIN($E27,AO$17),Libur!$A$2:$A$38)/NETWORKDAYS($D27,$E27,Libur!$A$2:$A$38),0)</f>
        <v>0</v>
      </c>
      <c r="AP27" s="53">
        <f>IF(AND($D27&lt;=AP$17,$E27&gt;=AP$16),$C27*NETWORKDAYS(MAX($D27,AP$16),MIN($E27,AP$17),Libur!$A$2:$A$38)/NETWORKDAYS($D27,$E27,Libur!$A$2:$A$38),0)</f>
        <v>0</v>
      </c>
      <c r="AQ27" s="53">
        <f>IF(AND($D27&lt;=AQ$17,$E27&gt;=AQ$16),$C27*NETWORKDAYS(MAX($D27,AQ$16),MIN($E27,AQ$17),Libur!$A$2:$A$38)/NETWORKDAYS($D27,$E27,Libur!$A$2:$A$38),0)</f>
        <v>0</v>
      </c>
      <c r="AR27" s="53">
        <f>IF(AND($D27&lt;=AR$17,$E27&gt;=AR$16),$C27*NETWORKDAYS(MAX($D27,AR$16),MIN($E27,AR$17),Libur!$A$2:$A$38)/NETWORKDAYS($D27,$E27,Libur!$A$2:$A$38),0)</f>
        <v>0</v>
      </c>
      <c r="AS27" s="53">
        <f>IF(AND($D27&lt;=AS$17,$E27&gt;=AS$16),$C27*NETWORKDAYS(MAX($D27,AS$16),MIN($E27,AS$17),Libur!$A$2:$A$38)/NETWORKDAYS($D27,$E27,Libur!$A$2:$A$38),0)</f>
        <v>0</v>
      </c>
      <c r="AT27" s="53">
        <f>IF(AND($D27&lt;=AT$17,$E27&gt;=AT$16),$C27*NETWORKDAYS(MAX($D27,AT$16),MIN($E27,AT$17),Libur!$A$2:$A$38)/NETWORKDAYS($D27,$E27,Libur!$A$2:$A$38),0)</f>
        <v>0</v>
      </c>
      <c r="AU27" s="53">
        <f>IF(AND($D27&lt;=AU$17,$E27&gt;=AU$16),$C27*NETWORKDAYS(MAX($D27,AU$16),MIN($E27,AU$17),Libur!$A$2:$A$38)/NETWORKDAYS($D27,$E27,Libur!$A$2:$A$38),0)</f>
        <v>0</v>
      </c>
      <c r="AV27" s="53">
        <f>IF(AND($D27&lt;=AV$17,$E27&gt;=AV$16),$C27*NETWORKDAYS(MAX($D27,AV$16),MIN($E27,AV$17),Libur!$A$2:$A$38)/NETWORKDAYS($D27,$E27,Libur!$A$2:$A$38),0)</f>
        <v>0</v>
      </c>
      <c r="AW27" s="53">
        <f>IF(AND($D27&lt;=AW$17,$E27&gt;=AW$16),$C27*NETWORKDAYS(MAX($D27,AW$16),MIN($E27,AW$17),Libur!$A$2:$A$38)/NETWORKDAYS($D27,$E27,Libur!$A$2:$A$38),0)</f>
        <v>0</v>
      </c>
      <c r="AX27" s="53">
        <f>IF(AND($D27&lt;=AX$17,$E27&gt;=AX$16),$C27*NETWORKDAYS(MAX($D27,AX$16),MIN($E27,AX$17),Libur!$A$2:$A$38)/NETWORKDAYS($D27,$E27,Libur!$A$2:$A$38),0)</f>
        <v>0</v>
      </c>
      <c r="AY27" s="53">
        <f>IF(AND($D27&lt;=AY$17,$E27&gt;=AY$16),$C27*NETWORKDAYS(MAX($D27,AY$16),MIN($E27,AY$17),Libur!$A$2:$A$38)/NETWORKDAYS($D27,$E27,Libur!$A$2:$A$38),0)</f>
        <v>0</v>
      </c>
      <c r="AZ27" s="53">
        <f>IF(AND($D27&lt;=AZ$17,$E27&gt;=AZ$16),$C27*NETWORKDAYS(MAX($D27,AZ$16),MIN($E27,AZ$17),Libur!$A$2:$A$38)/NETWORKDAYS($D27,$E27,Libur!$A$2:$A$38),0)</f>
        <v>0</v>
      </c>
      <c r="BA27" s="53">
        <f>IF(AND($D27&lt;=BA$17,$E27&gt;=BA$16),$C27*NETWORKDAYS(MAX($D27,BA$16),MIN($E27,BA$17),Libur!$A$2:$A$38)/NETWORKDAYS($D27,$E27,Libur!$A$2:$A$38),0)</f>
        <v>0</v>
      </c>
      <c r="BB27" s="53">
        <f>IF(AND($D27&lt;=BB$17,$E27&gt;=BB$16),$C27*NETWORKDAYS(MAX($D27,BB$16),MIN($E27,BB$17),Libur!$A$2:$A$38)/NETWORKDAYS($D27,$E27,Libur!$A$2:$A$38),0)</f>
        <v>0</v>
      </c>
      <c r="BC27" s="53">
        <f>IF(AND($D27&lt;=BC$17,$E27&gt;=BC$16),$C27*NETWORKDAYS(MAX($D27,BC$16),MIN($E27,BC$17),Libur!$A$2:$A$38)/NETWORKDAYS($D27,$E27,Libur!$A$2:$A$38),0)</f>
        <v>0</v>
      </c>
      <c r="BD27" s="53">
        <f>IF(AND($D27&lt;=BD$17,$E27&gt;=BD$16),$C27*NETWORKDAYS(MAX($D27,BD$16),MIN($E27,BD$17),Libur!$A$2:$A$38)/NETWORKDAYS($D27,$E27,Libur!$A$2:$A$38),0)</f>
        <v>0</v>
      </c>
      <c r="BE27" s="53">
        <f>IF(AND($D27&lt;=BE$17,$E27&gt;=BE$16),$C27*NETWORKDAYS(MAX($D27,BE$16),MIN($E27,BE$17),Libur!$A$2:$A$38)/NETWORKDAYS($D27,$E27,Libur!$A$2:$A$38),0)</f>
        <v>0</v>
      </c>
      <c r="BF27" s="53">
        <f>IF(AND($D27&lt;=BF$17,$E27&gt;=BF$16),$C27*NETWORKDAYS(MAX($D27,BF$16),MIN($E27,BF$17),Libur!$A$2:$A$38)/NETWORKDAYS($D27,$E27,Libur!$A$2:$A$38),0)</f>
        <v>0</v>
      </c>
      <c r="BG27" s="53">
        <f>IF(AND($D27&lt;=BG$17,$E27&gt;=BG$16),$C27*NETWORKDAYS(MAX($D27,BG$16),MIN($E27,BG$17),Libur!$A$2:$A$38)/NETWORKDAYS($D27,$E27,Libur!$A$2:$A$38),0)</f>
        <v>0</v>
      </c>
      <c r="BH27" s="53">
        <f>IF(AND($D27&lt;=BH$17,$E27&gt;=BH$16),$C27*NETWORKDAYS(MAX($D27,BH$16),MIN($E27,BH$17),Libur!$A$2:$A$38)/NETWORKDAYS($D27,$E27,Libur!$A$2:$A$38),0)</f>
        <v>0</v>
      </c>
      <c r="BI27" s="53">
        <f>IF(AND($D27&lt;=BI$17,$E27&gt;=BI$16),$C27*NETWORKDAYS(MAX($D27,BI$16),MIN($E27,BI$17),Libur!$A$2:$A$38)/NETWORKDAYS($D27,$E27,Libur!$A$2:$A$38),0)</f>
        <v>0</v>
      </c>
      <c r="BJ27" s="53">
        <f>IF(AND($D27&lt;=BJ$17,$E27&gt;=BJ$16),$C27*NETWORKDAYS(MAX($D27,BJ$16),MIN($E27,BJ$17),Libur!$A$2:$A$38)/NETWORKDAYS($D27,$E27,Libur!$A$2:$A$38),0)</f>
        <v>0</v>
      </c>
      <c r="BK27" s="53">
        <f>IF(AND($D27&lt;=BK$17,$E27&gt;=BK$16),$C27*NETWORKDAYS(MAX($D27,BK$16),MIN($E27,BK$17),Libur!$A$2:$A$38)/NETWORKDAYS($D27,$E27,Libur!$A$2:$A$38),0)</f>
        <v>0</v>
      </c>
    </row>
    <row r="28" spans="1:63" x14ac:dyDescent="0.25">
      <c r="A28" s="36" t="s">
        <v>79</v>
      </c>
      <c r="B28" s="9" t="s">
        <v>80</v>
      </c>
      <c r="C28" s="37">
        <f>SUM(C29:C30)</f>
        <v>0.1</v>
      </c>
      <c r="D28" s="38">
        <f>MIN(D29:D30)</f>
        <v>46153</v>
      </c>
      <c r="E28" s="38">
        <f>MAX(E29:E30)</f>
        <v>46168</v>
      </c>
      <c r="F28" s="7"/>
      <c r="G28" s="48"/>
      <c r="H28" s="40">
        <f>NETWORKDAYS(D28,E28,Hari_Libur)</f>
        <v>10</v>
      </c>
      <c r="I28" s="41">
        <f>IF(C28=0,0,J28/C28)</f>
        <v>0.21428571428571427</v>
      </c>
      <c r="J28" s="41">
        <f>SUM(J29:J30)</f>
        <v>2.1428571428571429E-2</v>
      </c>
      <c r="K28" s="41">
        <f>IF(C28=0,0,L28/C28)</f>
        <v>0.25</v>
      </c>
      <c r="L28" s="41">
        <f>SUM(L29:L30)</f>
        <v>2.5000000000000001E-2</v>
      </c>
      <c r="M28" s="41">
        <f>SUM(M29:M30)</f>
        <v>3.5714285714285726E-3</v>
      </c>
      <c r="N28" s="51"/>
      <c r="O28" s="52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</row>
    <row r="29" spans="1:63" x14ac:dyDescent="0.25">
      <c r="A29" s="45"/>
      <c r="B29" s="55" t="s">
        <v>81</v>
      </c>
      <c r="C29" s="48">
        <v>0.05</v>
      </c>
      <c r="D29" s="47">
        <v>46153</v>
      </c>
      <c r="E29" s="47">
        <v>46163</v>
      </c>
      <c r="F29" s="7">
        <f>C29</f>
        <v>0.05</v>
      </c>
      <c r="G29" s="48">
        <f>SUM(P29:AZ29)</f>
        <v>0.05</v>
      </c>
      <c r="H29" s="49">
        <f>NETWORKDAYS(D29,E29,Hari_Libur)</f>
        <v>7</v>
      </c>
      <c r="I29" s="50">
        <f>IF($C$8&gt;=E29,1,IF($C$8&lt;D29,0,IF(NETWORKDAYS(D29,E29,Hari_Libur)=0,0,NETWORKDAYS(D29,$C$8,Hari_Libur)/NETWORKDAYS(D29,E29,Hari_Libur))))</f>
        <v>0.42857142857142855</v>
      </c>
      <c r="J29" s="50">
        <f>I29*F29</f>
        <v>2.1428571428571429E-2</v>
      </c>
      <c r="K29" s="50">
        <v>0.5</v>
      </c>
      <c r="L29" s="50">
        <f>C29*K29</f>
        <v>2.5000000000000001E-2</v>
      </c>
      <c r="M29" s="50">
        <f>L29-J29</f>
        <v>3.5714285714285726E-3</v>
      </c>
      <c r="N29" s="51">
        <f>C29</f>
        <v>0.05</v>
      </c>
      <c r="O29" s="52">
        <f>SUM(P29:BK29)</f>
        <v>0.05</v>
      </c>
      <c r="P29" s="53">
        <f t="shared" ref="P29:Y30" si="8">IF(AND($D29&lt;=P$17,$E29&gt;=P$16),$C29*NETWORKDAYS(MAX($D29,P$16),MIN($E29,P$17),Hari_Libur)/NETWORKDAYS($D29,$E29,Hari_Libur),0)</f>
        <v>2.1428571428571432E-2</v>
      </c>
      <c r="Q29" s="53">
        <f t="shared" si="8"/>
        <v>2.8571428571428574E-2</v>
      </c>
      <c r="R29" s="53">
        <f t="shared" si="8"/>
        <v>0</v>
      </c>
      <c r="S29" s="53">
        <f t="shared" si="8"/>
        <v>0</v>
      </c>
      <c r="T29" s="53">
        <f t="shared" si="8"/>
        <v>0</v>
      </c>
      <c r="U29" s="53">
        <f t="shared" si="8"/>
        <v>0</v>
      </c>
      <c r="V29" s="53">
        <f t="shared" si="8"/>
        <v>0</v>
      </c>
      <c r="W29" s="53">
        <f t="shared" si="8"/>
        <v>0</v>
      </c>
      <c r="X29" s="53">
        <f t="shared" si="8"/>
        <v>0</v>
      </c>
      <c r="Y29" s="53">
        <f t="shared" si="8"/>
        <v>0</v>
      </c>
      <c r="Z29" s="53">
        <f t="shared" ref="Z29:AI30" si="9">IF(AND($D29&lt;=Z$17,$E29&gt;=Z$16),$C29*NETWORKDAYS(MAX($D29,Z$16),MIN($E29,Z$17),Hari_Libur)/NETWORKDAYS($D29,$E29,Hari_Libur),0)</f>
        <v>0</v>
      </c>
      <c r="AA29" s="53">
        <f t="shared" si="9"/>
        <v>0</v>
      </c>
      <c r="AB29" s="53">
        <f t="shared" si="9"/>
        <v>0</v>
      </c>
      <c r="AC29" s="53">
        <f t="shared" si="9"/>
        <v>0</v>
      </c>
      <c r="AD29" s="53">
        <f t="shared" si="9"/>
        <v>0</v>
      </c>
      <c r="AE29" s="53">
        <f t="shared" si="9"/>
        <v>0</v>
      </c>
      <c r="AF29" s="53">
        <f t="shared" si="9"/>
        <v>0</v>
      </c>
      <c r="AG29" s="53">
        <f t="shared" si="9"/>
        <v>0</v>
      </c>
      <c r="AH29" s="53">
        <f t="shared" si="9"/>
        <v>0</v>
      </c>
      <c r="AI29" s="53">
        <f t="shared" si="9"/>
        <v>0</v>
      </c>
      <c r="AJ29" s="53">
        <f t="shared" ref="AJ29:AS30" si="10">IF(AND($D29&lt;=AJ$17,$E29&gt;=AJ$16),$C29*NETWORKDAYS(MAX($D29,AJ$16),MIN($E29,AJ$17),Hari_Libur)/NETWORKDAYS($D29,$E29,Hari_Libur),0)</f>
        <v>0</v>
      </c>
      <c r="AK29" s="53">
        <f t="shared" si="10"/>
        <v>0</v>
      </c>
      <c r="AL29" s="53">
        <f t="shared" si="10"/>
        <v>0</v>
      </c>
      <c r="AM29" s="53">
        <f t="shared" si="10"/>
        <v>0</v>
      </c>
      <c r="AN29" s="53">
        <f t="shared" si="10"/>
        <v>0</v>
      </c>
      <c r="AO29" s="53">
        <f t="shared" si="10"/>
        <v>0</v>
      </c>
      <c r="AP29" s="53">
        <f t="shared" si="10"/>
        <v>0</v>
      </c>
      <c r="AQ29" s="53">
        <f t="shared" si="10"/>
        <v>0</v>
      </c>
      <c r="AR29" s="53">
        <f t="shared" si="10"/>
        <v>0</v>
      </c>
      <c r="AS29" s="53">
        <f t="shared" si="10"/>
        <v>0</v>
      </c>
      <c r="AT29" s="53">
        <f t="shared" ref="AT29:BC30" si="11">IF(AND($D29&lt;=AT$17,$E29&gt;=AT$16),$C29*NETWORKDAYS(MAX($D29,AT$16),MIN($E29,AT$17),Hari_Libur)/NETWORKDAYS($D29,$E29,Hari_Libur),0)</f>
        <v>0</v>
      </c>
      <c r="AU29" s="53">
        <f t="shared" si="11"/>
        <v>0</v>
      </c>
      <c r="AV29" s="53">
        <f t="shared" si="11"/>
        <v>0</v>
      </c>
      <c r="AW29" s="53">
        <f t="shared" si="11"/>
        <v>0</v>
      </c>
      <c r="AX29" s="53">
        <f t="shared" si="11"/>
        <v>0</v>
      </c>
      <c r="AY29" s="53">
        <f t="shared" si="11"/>
        <v>0</v>
      </c>
      <c r="AZ29" s="53">
        <f t="shared" si="11"/>
        <v>0</v>
      </c>
      <c r="BA29" s="53">
        <f t="shared" si="11"/>
        <v>0</v>
      </c>
      <c r="BB29" s="53">
        <f t="shared" si="11"/>
        <v>0</v>
      </c>
      <c r="BC29" s="53">
        <f t="shared" si="11"/>
        <v>0</v>
      </c>
      <c r="BD29" s="53">
        <f t="shared" ref="BD29:BK30" si="12">IF(AND($D29&lt;=BD$17,$E29&gt;=BD$16),$C29*NETWORKDAYS(MAX($D29,BD$16),MIN($E29,BD$17),Hari_Libur)/NETWORKDAYS($D29,$E29,Hari_Libur),0)</f>
        <v>0</v>
      </c>
      <c r="BE29" s="53">
        <f t="shared" si="12"/>
        <v>0</v>
      </c>
      <c r="BF29" s="53">
        <f t="shared" si="12"/>
        <v>0</v>
      </c>
      <c r="BG29" s="53">
        <f t="shared" si="12"/>
        <v>0</v>
      </c>
      <c r="BH29" s="53">
        <f t="shared" si="12"/>
        <v>0</v>
      </c>
      <c r="BI29" s="53">
        <f t="shared" si="12"/>
        <v>0</v>
      </c>
      <c r="BJ29" s="53">
        <f t="shared" si="12"/>
        <v>0</v>
      </c>
      <c r="BK29" s="53">
        <f t="shared" si="12"/>
        <v>0</v>
      </c>
    </row>
    <row r="30" spans="1:63" x14ac:dyDescent="0.25">
      <c r="A30" s="45"/>
      <c r="B30" s="55" t="s">
        <v>82</v>
      </c>
      <c r="C30" s="48">
        <v>0.05</v>
      </c>
      <c r="D30" s="47">
        <v>46164</v>
      </c>
      <c r="E30" s="47">
        <v>46168</v>
      </c>
      <c r="F30" s="7">
        <f>C30</f>
        <v>0.05</v>
      </c>
      <c r="G30" s="48">
        <f>SUM(P30:AZ30)</f>
        <v>5.000000000000001E-2</v>
      </c>
      <c r="H30" s="49">
        <f>NETWORKDAYS(D30,E30,Hari_Libur)</f>
        <v>3</v>
      </c>
      <c r="I30" s="50">
        <f>IF($C$8&gt;=E30,1,IF($C$8&lt;D30,0,IF(NETWORKDAYS(D30,E30,Hari_Libur)=0,0,NETWORKDAYS(D30,$C$8,Hari_Libur)/NETWORKDAYS(D30,E30,Hari_Libur))))</f>
        <v>0</v>
      </c>
      <c r="J30" s="50">
        <f>I30*F30</f>
        <v>0</v>
      </c>
      <c r="K30" s="50">
        <v>0</v>
      </c>
      <c r="L30" s="50">
        <f>C30*K30</f>
        <v>0</v>
      </c>
      <c r="M30" s="50">
        <f>L30-J30</f>
        <v>0</v>
      </c>
      <c r="N30" s="51">
        <f>C30</f>
        <v>0.05</v>
      </c>
      <c r="O30" s="52">
        <f>SUM(P30:BK30)</f>
        <v>5.000000000000001E-2</v>
      </c>
      <c r="P30" s="53">
        <f t="shared" si="8"/>
        <v>0</v>
      </c>
      <c r="Q30" s="53">
        <f t="shared" si="8"/>
        <v>0</v>
      </c>
      <c r="R30" s="53">
        <f t="shared" si="8"/>
        <v>5.000000000000001E-2</v>
      </c>
      <c r="S30" s="53">
        <f t="shared" si="8"/>
        <v>0</v>
      </c>
      <c r="T30" s="53">
        <f t="shared" si="8"/>
        <v>0</v>
      </c>
      <c r="U30" s="53">
        <f t="shared" si="8"/>
        <v>0</v>
      </c>
      <c r="V30" s="53">
        <f t="shared" si="8"/>
        <v>0</v>
      </c>
      <c r="W30" s="53">
        <f t="shared" si="8"/>
        <v>0</v>
      </c>
      <c r="X30" s="53">
        <f t="shared" si="8"/>
        <v>0</v>
      </c>
      <c r="Y30" s="53">
        <f t="shared" si="8"/>
        <v>0</v>
      </c>
      <c r="Z30" s="53">
        <f t="shared" si="9"/>
        <v>0</v>
      </c>
      <c r="AA30" s="53">
        <f t="shared" si="9"/>
        <v>0</v>
      </c>
      <c r="AB30" s="53">
        <f t="shared" si="9"/>
        <v>0</v>
      </c>
      <c r="AC30" s="53">
        <f t="shared" si="9"/>
        <v>0</v>
      </c>
      <c r="AD30" s="53">
        <f t="shared" si="9"/>
        <v>0</v>
      </c>
      <c r="AE30" s="53">
        <f t="shared" si="9"/>
        <v>0</v>
      </c>
      <c r="AF30" s="53">
        <f t="shared" si="9"/>
        <v>0</v>
      </c>
      <c r="AG30" s="53">
        <f t="shared" si="9"/>
        <v>0</v>
      </c>
      <c r="AH30" s="53">
        <f t="shared" si="9"/>
        <v>0</v>
      </c>
      <c r="AI30" s="53">
        <f t="shared" si="9"/>
        <v>0</v>
      </c>
      <c r="AJ30" s="53">
        <f t="shared" si="10"/>
        <v>0</v>
      </c>
      <c r="AK30" s="53">
        <f t="shared" si="10"/>
        <v>0</v>
      </c>
      <c r="AL30" s="53">
        <f t="shared" si="10"/>
        <v>0</v>
      </c>
      <c r="AM30" s="53">
        <f t="shared" si="10"/>
        <v>0</v>
      </c>
      <c r="AN30" s="53">
        <f t="shared" si="10"/>
        <v>0</v>
      </c>
      <c r="AO30" s="53">
        <f t="shared" si="10"/>
        <v>0</v>
      </c>
      <c r="AP30" s="53">
        <f t="shared" si="10"/>
        <v>0</v>
      </c>
      <c r="AQ30" s="53">
        <f t="shared" si="10"/>
        <v>0</v>
      </c>
      <c r="AR30" s="53">
        <f t="shared" si="10"/>
        <v>0</v>
      </c>
      <c r="AS30" s="53">
        <f t="shared" si="10"/>
        <v>0</v>
      </c>
      <c r="AT30" s="53">
        <f t="shared" si="11"/>
        <v>0</v>
      </c>
      <c r="AU30" s="53">
        <f t="shared" si="11"/>
        <v>0</v>
      </c>
      <c r="AV30" s="53">
        <f t="shared" si="11"/>
        <v>0</v>
      </c>
      <c r="AW30" s="53">
        <f t="shared" si="11"/>
        <v>0</v>
      </c>
      <c r="AX30" s="53">
        <f t="shared" si="11"/>
        <v>0</v>
      </c>
      <c r="AY30" s="53">
        <f t="shared" si="11"/>
        <v>0</v>
      </c>
      <c r="AZ30" s="53">
        <f t="shared" si="11"/>
        <v>0</v>
      </c>
      <c r="BA30" s="53">
        <f t="shared" si="11"/>
        <v>0</v>
      </c>
      <c r="BB30" s="53">
        <f t="shared" si="11"/>
        <v>0</v>
      </c>
      <c r="BC30" s="53">
        <f t="shared" si="11"/>
        <v>0</v>
      </c>
      <c r="BD30" s="53">
        <f t="shared" si="12"/>
        <v>0</v>
      </c>
      <c r="BE30" s="53">
        <f t="shared" si="12"/>
        <v>0</v>
      </c>
      <c r="BF30" s="53">
        <f t="shared" si="12"/>
        <v>0</v>
      </c>
      <c r="BG30" s="53">
        <f t="shared" si="12"/>
        <v>0</v>
      </c>
      <c r="BH30" s="53">
        <f t="shared" si="12"/>
        <v>0</v>
      </c>
      <c r="BI30" s="53">
        <f t="shared" si="12"/>
        <v>0</v>
      </c>
      <c r="BJ30" s="53">
        <f t="shared" si="12"/>
        <v>0</v>
      </c>
      <c r="BK30" s="53">
        <f t="shared" si="12"/>
        <v>0</v>
      </c>
    </row>
    <row r="31" spans="1:63" x14ac:dyDescent="0.25">
      <c r="A31" s="45"/>
      <c r="B31" s="55"/>
      <c r="C31" s="48"/>
      <c r="D31" s="47"/>
      <c r="E31" s="47"/>
      <c r="F31" s="48"/>
      <c r="G31" s="48"/>
      <c r="H31" s="49"/>
      <c r="I31" s="48"/>
      <c r="J31" s="48"/>
      <c r="K31" s="48"/>
      <c r="L31" s="48"/>
      <c r="M31" s="48"/>
      <c r="N31" s="51"/>
      <c r="O31" s="52"/>
      <c r="P31" s="53">
        <f>IF(AND($D31&lt;=P$17,$E31&gt;=P$16),$C31*NETWORKDAYS(MAX($D31,P$16),MIN($E31,P$17),Libur!$A$2:$A$38)/NETWORKDAYS($D31,$E31,Libur!$A$2:$A$38),0)</f>
        <v>0</v>
      </c>
      <c r="Q31" s="53">
        <f>IF(AND($D31&lt;=Q$17,$E31&gt;=Q$16),$C31*NETWORKDAYS(MAX($D31,Q$16),MIN($E31,Q$17),Libur!$A$2:$A$38)/NETWORKDAYS($D31,$E31,Libur!$A$2:$A$38),0)</f>
        <v>0</v>
      </c>
      <c r="R31" s="53">
        <f>IF(AND($D31&lt;=R$17,$E31&gt;=R$16),$C31*NETWORKDAYS(MAX($D31,R$16),MIN($E31,R$17),Libur!$A$2:$A$38)/NETWORKDAYS($D31,$E31,Libur!$A$2:$A$38),0)</f>
        <v>0</v>
      </c>
      <c r="S31" s="53">
        <f>IF(AND($D31&lt;=S$17,$E31&gt;=S$16),$C31*NETWORKDAYS(MAX($D31,S$16),MIN($E31,S$17),Libur!$A$2:$A$38)/NETWORKDAYS($D31,$E31,Libur!$A$2:$A$38),0)</f>
        <v>0</v>
      </c>
      <c r="T31" s="53">
        <f>IF(AND($D31&lt;=T$17,$E31&gt;=T$16),$C31*NETWORKDAYS(MAX($D31,T$16),MIN($E31,T$17),Libur!$A$2:$A$38)/NETWORKDAYS($D31,$E31,Libur!$A$2:$A$38),0)</f>
        <v>0</v>
      </c>
      <c r="U31" s="53">
        <f>IF(AND($D31&lt;=U$17,$E31&gt;=U$16),$C31*NETWORKDAYS(MAX($D31,U$16),MIN($E31,U$17),Libur!$A$2:$A$38)/NETWORKDAYS($D31,$E31,Libur!$A$2:$A$38),0)</f>
        <v>0</v>
      </c>
      <c r="V31" s="53">
        <f>IF(AND($D31&lt;=V$17,$E31&gt;=V$16),$C31*NETWORKDAYS(MAX($D31,V$16),MIN($E31,V$17),Libur!$A$2:$A$38)/NETWORKDAYS($D31,$E31,Libur!$A$2:$A$38),0)</f>
        <v>0</v>
      </c>
      <c r="W31" s="53">
        <f>IF(AND($D31&lt;=W$17,$E31&gt;=W$16),$C31*NETWORKDAYS(MAX($D31,W$16),MIN($E31,W$17),Libur!$A$2:$A$38)/NETWORKDAYS($D31,$E31,Libur!$A$2:$A$38),0)</f>
        <v>0</v>
      </c>
      <c r="X31" s="53">
        <f>IF(AND($D31&lt;=X$17,$E31&gt;=X$16),$C31*NETWORKDAYS(MAX($D31,X$16),MIN($E31,X$17),Libur!$A$2:$A$38)/NETWORKDAYS($D31,$E31,Libur!$A$2:$A$38),0)</f>
        <v>0</v>
      </c>
      <c r="Y31" s="53">
        <f>IF(AND($D31&lt;=Y$17,$E31&gt;=Y$16),$C31*NETWORKDAYS(MAX($D31,Y$16),MIN($E31,Y$17),Libur!$A$2:$A$38)/NETWORKDAYS($D31,$E31,Libur!$A$2:$A$38),0)</f>
        <v>0</v>
      </c>
      <c r="Z31" s="53">
        <f>IF(AND($D31&lt;=Z$17,$E31&gt;=Z$16),$C31*NETWORKDAYS(MAX($D31,Z$16),MIN($E31,Z$17),Libur!$A$2:$A$38)/NETWORKDAYS($D31,$E31,Libur!$A$2:$A$38),0)</f>
        <v>0</v>
      </c>
      <c r="AA31" s="53">
        <f>IF(AND($D31&lt;=AA$17,$E31&gt;=AA$16),$C31*NETWORKDAYS(MAX($D31,AA$16),MIN($E31,AA$17),Libur!$A$2:$A$38)/NETWORKDAYS($D31,$E31,Libur!$A$2:$A$38),0)</f>
        <v>0</v>
      </c>
      <c r="AB31" s="53">
        <f>IF(AND($D31&lt;=AB$17,$E31&gt;=AB$16),$C31*NETWORKDAYS(MAX($D31,AB$16),MIN($E31,AB$17),Libur!$A$2:$A$38)/NETWORKDAYS($D31,$E31,Libur!$A$2:$A$38),0)</f>
        <v>0</v>
      </c>
      <c r="AC31" s="53">
        <f>IF(AND($D31&lt;=AC$17,$E31&gt;=AC$16),$C31*NETWORKDAYS(MAX($D31,AC$16),MIN($E31,AC$17),Libur!$A$2:$A$38)/NETWORKDAYS($D31,$E31,Libur!$A$2:$A$38),0)</f>
        <v>0</v>
      </c>
      <c r="AD31" s="53">
        <f>IF(AND($D31&lt;=AD$17,$E31&gt;=AD$16),$C31*NETWORKDAYS(MAX($D31,AD$16),MIN($E31,AD$17),Libur!$A$2:$A$38)/NETWORKDAYS($D31,$E31,Libur!$A$2:$A$38),0)</f>
        <v>0</v>
      </c>
      <c r="AE31" s="53">
        <f>IF(AND($D31&lt;=AE$17,$E31&gt;=AE$16),$C31*NETWORKDAYS(MAX($D31,AE$16),MIN($E31,AE$17),Libur!$A$2:$A$38)/NETWORKDAYS($D31,$E31,Libur!$A$2:$A$38),0)</f>
        <v>0</v>
      </c>
      <c r="AF31" s="53">
        <f>IF(AND($D31&lt;=AF$17,$E31&gt;=AF$16),$C31*NETWORKDAYS(MAX($D31,AF$16),MIN($E31,AF$17),Libur!$A$2:$A$38)/NETWORKDAYS($D31,$E31,Libur!$A$2:$A$38),0)</f>
        <v>0</v>
      </c>
      <c r="AG31" s="53">
        <f>IF(AND($D31&lt;=AG$17,$E31&gt;=AG$16),$C31*NETWORKDAYS(MAX($D31,AG$16),MIN($E31,AG$17),Libur!$A$2:$A$38)/NETWORKDAYS($D31,$E31,Libur!$A$2:$A$38),0)</f>
        <v>0</v>
      </c>
      <c r="AH31" s="53">
        <f>IF(AND($D31&lt;=AH$17,$E31&gt;=AH$16),$C31*NETWORKDAYS(MAX($D31,AH$16),MIN($E31,AH$17),Libur!$A$2:$A$38)/NETWORKDAYS($D31,$E31,Libur!$A$2:$A$38),0)</f>
        <v>0</v>
      </c>
      <c r="AI31" s="53">
        <f>IF(AND($D31&lt;=AI$17,$E31&gt;=AI$16),$C31*NETWORKDAYS(MAX($D31,AI$16),MIN($E31,AI$17),Libur!$A$2:$A$38)/NETWORKDAYS($D31,$E31,Libur!$A$2:$A$38),0)</f>
        <v>0</v>
      </c>
      <c r="AJ31" s="53">
        <f>IF(AND($D31&lt;=AJ$17,$E31&gt;=AJ$16),$C31*NETWORKDAYS(MAX($D31,AJ$16),MIN($E31,AJ$17),Libur!$A$2:$A$38)/NETWORKDAYS($D31,$E31,Libur!$A$2:$A$38),0)</f>
        <v>0</v>
      </c>
      <c r="AK31" s="53">
        <f>IF(AND($D31&lt;=AK$17,$E31&gt;=AK$16),$C31*NETWORKDAYS(MAX($D31,AK$16),MIN($E31,AK$17),Libur!$A$2:$A$38)/NETWORKDAYS($D31,$E31,Libur!$A$2:$A$38),0)</f>
        <v>0</v>
      </c>
      <c r="AL31" s="53">
        <f>IF(AND($D31&lt;=AL$17,$E31&gt;=AL$16),$C31*NETWORKDAYS(MAX($D31,AL$16),MIN($E31,AL$17),Libur!$A$2:$A$38)/NETWORKDAYS($D31,$E31,Libur!$A$2:$A$38),0)</f>
        <v>0</v>
      </c>
      <c r="AM31" s="53">
        <f>IF(AND($D31&lt;=AM$17,$E31&gt;=AM$16),$C31*NETWORKDAYS(MAX($D31,AM$16),MIN($E31,AM$17),Libur!$A$2:$A$38)/NETWORKDAYS($D31,$E31,Libur!$A$2:$A$38),0)</f>
        <v>0</v>
      </c>
      <c r="AN31" s="53">
        <f>IF(AND($D31&lt;=AN$17,$E31&gt;=AN$16),$C31*NETWORKDAYS(MAX($D31,AN$16),MIN($E31,AN$17),Libur!$A$2:$A$38)/NETWORKDAYS($D31,$E31,Libur!$A$2:$A$38),0)</f>
        <v>0</v>
      </c>
      <c r="AO31" s="53">
        <f>IF(AND($D31&lt;=AO$17,$E31&gt;=AO$16),$C31*NETWORKDAYS(MAX($D31,AO$16),MIN($E31,AO$17),Libur!$A$2:$A$38)/NETWORKDAYS($D31,$E31,Libur!$A$2:$A$38),0)</f>
        <v>0</v>
      </c>
      <c r="AP31" s="53">
        <f>IF(AND($D31&lt;=AP$17,$E31&gt;=AP$16),$C31*NETWORKDAYS(MAX($D31,AP$16),MIN($E31,AP$17),Libur!$A$2:$A$38)/NETWORKDAYS($D31,$E31,Libur!$A$2:$A$38),0)</f>
        <v>0</v>
      </c>
      <c r="AQ31" s="53">
        <f>IF(AND($D31&lt;=AQ$17,$E31&gt;=AQ$16),$C31*NETWORKDAYS(MAX($D31,AQ$16),MIN($E31,AQ$17),Libur!$A$2:$A$38)/NETWORKDAYS($D31,$E31,Libur!$A$2:$A$38),0)</f>
        <v>0</v>
      </c>
      <c r="AR31" s="53">
        <f>IF(AND($D31&lt;=AR$17,$E31&gt;=AR$16),$C31*NETWORKDAYS(MAX($D31,AR$16),MIN($E31,AR$17),Libur!$A$2:$A$38)/NETWORKDAYS($D31,$E31,Libur!$A$2:$A$38),0)</f>
        <v>0</v>
      </c>
      <c r="AS31" s="53">
        <f>IF(AND($D31&lt;=AS$17,$E31&gt;=AS$16),$C31*NETWORKDAYS(MAX($D31,AS$16),MIN($E31,AS$17),Libur!$A$2:$A$38)/NETWORKDAYS($D31,$E31,Libur!$A$2:$A$38),0)</f>
        <v>0</v>
      </c>
      <c r="AT31" s="53">
        <f>IF(AND($D31&lt;=AT$17,$E31&gt;=AT$16),$C31*NETWORKDAYS(MAX($D31,AT$16),MIN($E31,AT$17),Libur!$A$2:$A$38)/NETWORKDAYS($D31,$E31,Libur!$A$2:$A$38),0)</f>
        <v>0</v>
      </c>
      <c r="AU31" s="53">
        <f>IF(AND($D31&lt;=AU$17,$E31&gt;=AU$16),$C31*NETWORKDAYS(MAX($D31,AU$16),MIN($E31,AU$17),Libur!$A$2:$A$38)/NETWORKDAYS($D31,$E31,Libur!$A$2:$A$38),0)</f>
        <v>0</v>
      </c>
      <c r="AV31" s="53">
        <f>IF(AND($D31&lt;=AV$17,$E31&gt;=AV$16),$C31*NETWORKDAYS(MAX($D31,AV$16),MIN($E31,AV$17),Libur!$A$2:$A$38)/NETWORKDAYS($D31,$E31,Libur!$A$2:$A$38),0)</f>
        <v>0</v>
      </c>
      <c r="AW31" s="53">
        <f>IF(AND($D31&lt;=AW$17,$E31&gt;=AW$16),$C31*NETWORKDAYS(MAX($D31,AW$16),MIN($E31,AW$17),Libur!$A$2:$A$38)/NETWORKDAYS($D31,$E31,Libur!$A$2:$A$38),0)</f>
        <v>0</v>
      </c>
      <c r="AX31" s="53">
        <f>IF(AND($D31&lt;=AX$17,$E31&gt;=AX$16),$C31*NETWORKDAYS(MAX($D31,AX$16),MIN($E31,AX$17),Libur!$A$2:$A$38)/NETWORKDAYS($D31,$E31,Libur!$A$2:$A$38),0)</f>
        <v>0</v>
      </c>
      <c r="AY31" s="53">
        <f>IF(AND($D31&lt;=AY$17,$E31&gt;=AY$16),$C31*NETWORKDAYS(MAX($D31,AY$16),MIN($E31,AY$17),Libur!$A$2:$A$38)/NETWORKDAYS($D31,$E31,Libur!$A$2:$A$38),0)</f>
        <v>0</v>
      </c>
      <c r="AZ31" s="53">
        <f>IF(AND($D31&lt;=AZ$17,$E31&gt;=AZ$16),$C31*NETWORKDAYS(MAX($D31,AZ$16),MIN($E31,AZ$17),Libur!$A$2:$A$38)/NETWORKDAYS($D31,$E31,Libur!$A$2:$A$38),0)</f>
        <v>0</v>
      </c>
      <c r="BA31" s="53">
        <f>IF(AND($D31&lt;=BA$17,$E31&gt;=BA$16),$C31*NETWORKDAYS(MAX($D31,BA$16),MIN($E31,BA$17),Libur!$A$2:$A$38)/NETWORKDAYS($D31,$E31,Libur!$A$2:$A$38),0)</f>
        <v>0</v>
      </c>
      <c r="BB31" s="53">
        <f>IF(AND($D31&lt;=BB$17,$E31&gt;=BB$16),$C31*NETWORKDAYS(MAX($D31,BB$16),MIN($E31,BB$17),Libur!$A$2:$A$38)/NETWORKDAYS($D31,$E31,Libur!$A$2:$A$38),0)</f>
        <v>0</v>
      </c>
      <c r="BC31" s="53">
        <f>IF(AND($D31&lt;=BC$17,$E31&gt;=BC$16),$C31*NETWORKDAYS(MAX($D31,BC$16),MIN($E31,BC$17),Libur!$A$2:$A$38)/NETWORKDAYS($D31,$E31,Libur!$A$2:$A$38),0)</f>
        <v>0</v>
      </c>
      <c r="BD31" s="53">
        <f>IF(AND($D31&lt;=BD$17,$E31&gt;=BD$16),$C31*NETWORKDAYS(MAX($D31,BD$16),MIN($E31,BD$17),Libur!$A$2:$A$38)/NETWORKDAYS($D31,$E31,Libur!$A$2:$A$38),0)</f>
        <v>0</v>
      </c>
      <c r="BE31" s="53">
        <f>IF(AND($D31&lt;=BE$17,$E31&gt;=BE$16),$C31*NETWORKDAYS(MAX($D31,BE$16),MIN($E31,BE$17),Libur!$A$2:$A$38)/NETWORKDAYS($D31,$E31,Libur!$A$2:$A$38),0)</f>
        <v>0</v>
      </c>
      <c r="BF31" s="53">
        <f>IF(AND($D31&lt;=BF$17,$E31&gt;=BF$16),$C31*NETWORKDAYS(MAX($D31,BF$16),MIN($E31,BF$17),Libur!$A$2:$A$38)/NETWORKDAYS($D31,$E31,Libur!$A$2:$A$38),0)</f>
        <v>0</v>
      </c>
      <c r="BG31" s="53">
        <f>IF(AND($D31&lt;=BG$17,$E31&gt;=BG$16),$C31*NETWORKDAYS(MAX($D31,BG$16),MIN($E31,BG$17),Libur!$A$2:$A$38)/NETWORKDAYS($D31,$E31,Libur!$A$2:$A$38),0)</f>
        <v>0</v>
      </c>
      <c r="BH31" s="53">
        <f>IF(AND($D31&lt;=BH$17,$E31&gt;=BH$16),$C31*NETWORKDAYS(MAX($D31,BH$16),MIN($E31,BH$17),Libur!$A$2:$A$38)/NETWORKDAYS($D31,$E31,Libur!$A$2:$A$38),0)</f>
        <v>0</v>
      </c>
      <c r="BI31" s="53">
        <f>IF(AND($D31&lt;=BI$17,$E31&gt;=BI$16),$C31*NETWORKDAYS(MAX($D31,BI$16),MIN($E31,BI$17),Libur!$A$2:$A$38)/NETWORKDAYS($D31,$E31,Libur!$A$2:$A$38),0)</f>
        <v>0</v>
      </c>
      <c r="BJ31" s="53">
        <f>IF(AND($D31&lt;=BJ$17,$E31&gt;=BJ$16),$C31*NETWORKDAYS(MAX($D31,BJ$16),MIN($E31,BJ$17),Libur!$A$2:$A$38)/NETWORKDAYS($D31,$E31,Libur!$A$2:$A$38),0)</f>
        <v>0</v>
      </c>
      <c r="BK31" s="53">
        <f>IF(AND($D31&lt;=BK$17,$E31&gt;=BK$16),$C31*NETWORKDAYS(MAX($D31,BK$16),MIN($E31,BK$17),Libur!$A$2:$A$38)/NETWORKDAYS($D31,$E31,Libur!$A$2:$A$38),0)</f>
        <v>0</v>
      </c>
    </row>
    <row r="32" spans="1:63" s="9" customFormat="1" x14ac:dyDescent="0.25">
      <c r="A32" s="36" t="s">
        <v>83</v>
      </c>
      <c r="B32" s="9" t="s">
        <v>84</v>
      </c>
      <c r="C32" s="37">
        <f>SUM(C33:C36)</f>
        <v>0.2</v>
      </c>
      <c r="D32" s="56">
        <f>MIN(D33:D36)</f>
        <v>46171</v>
      </c>
      <c r="E32" s="56">
        <f>MAX(E33:E36)</f>
        <v>46184</v>
      </c>
      <c r="F32" s="54"/>
      <c r="G32" s="54"/>
      <c r="H32" s="40">
        <f>NETWORKDAYS(D32,E32,Hari_Libur)</f>
        <v>9</v>
      </c>
      <c r="I32" s="41">
        <f>IF(C32=0,0,J32/C32)</f>
        <v>0</v>
      </c>
      <c r="J32" s="41">
        <f>SUM(J33:J36)</f>
        <v>0</v>
      </c>
      <c r="K32" s="41">
        <f>IF(C32=0,0,L32/C32)</f>
        <v>0</v>
      </c>
      <c r="L32" s="41">
        <f>SUM(L33:L36)</f>
        <v>0</v>
      </c>
      <c r="M32" s="41">
        <f>SUM(M33:M36)</f>
        <v>0</v>
      </c>
      <c r="N32" s="57"/>
      <c r="O32" s="58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</row>
    <row r="33" spans="1:63" x14ac:dyDescent="0.25">
      <c r="A33" s="45"/>
      <c r="B33" s="55" t="s">
        <v>85</v>
      </c>
      <c r="C33" s="48">
        <v>7.0000000000000007E-2</v>
      </c>
      <c r="D33" s="47">
        <v>46171</v>
      </c>
      <c r="E33" s="47">
        <v>46177</v>
      </c>
      <c r="F33" s="7">
        <f>C33</f>
        <v>7.0000000000000007E-2</v>
      </c>
      <c r="G33" s="48">
        <f>SUM(P33:AZ33)</f>
        <v>7.0000000000000007E-2</v>
      </c>
      <c r="H33" s="49">
        <f>NETWORKDAYS(D33,E33,Hari_Libur)</f>
        <v>4</v>
      </c>
      <c r="I33" s="50">
        <f>IF($C$8&gt;=E33,1,IF($C$8&lt;D33,0,IF(NETWORKDAYS(D33,E33,Hari_Libur)=0,0,NETWORKDAYS(D33,$C$8,Hari_Libur)/NETWORKDAYS(D33,E33,Hari_Libur))))</f>
        <v>0</v>
      </c>
      <c r="J33" s="50">
        <f>I33*F33</f>
        <v>0</v>
      </c>
      <c r="K33" s="50">
        <v>0</v>
      </c>
      <c r="L33" s="50">
        <f>C33*K33</f>
        <v>0</v>
      </c>
      <c r="M33" s="50">
        <f>L33-J33</f>
        <v>0</v>
      </c>
      <c r="N33" s="51">
        <f>C33</f>
        <v>7.0000000000000007E-2</v>
      </c>
      <c r="O33" s="52">
        <f>SUM(P33:BK33)</f>
        <v>7.0000000000000007E-2</v>
      </c>
      <c r="P33" s="53">
        <f t="shared" ref="P33:Y36" si="13">IF(AND($D33&lt;=P$17,$E33&gt;=P$16),$C33*NETWORKDAYS(MAX($D33,P$16),MIN($E33,P$17),Hari_Libur)/NETWORKDAYS($D33,$E33,Hari_Libur),0)</f>
        <v>0</v>
      </c>
      <c r="Q33" s="53">
        <f t="shared" si="13"/>
        <v>0</v>
      </c>
      <c r="R33" s="53">
        <f t="shared" si="13"/>
        <v>0</v>
      </c>
      <c r="S33" s="53">
        <f t="shared" si="13"/>
        <v>7.0000000000000007E-2</v>
      </c>
      <c r="T33" s="53">
        <f t="shared" si="13"/>
        <v>0</v>
      </c>
      <c r="U33" s="53">
        <f t="shared" si="13"/>
        <v>0</v>
      </c>
      <c r="V33" s="53">
        <f t="shared" si="13"/>
        <v>0</v>
      </c>
      <c r="W33" s="53">
        <f t="shared" si="13"/>
        <v>0</v>
      </c>
      <c r="X33" s="53">
        <f t="shared" si="13"/>
        <v>0</v>
      </c>
      <c r="Y33" s="53">
        <f t="shared" si="13"/>
        <v>0</v>
      </c>
      <c r="Z33" s="53">
        <f t="shared" ref="Z33:AI36" si="14">IF(AND($D33&lt;=Z$17,$E33&gt;=Z$16),$C33*NETWORKDAYS(MAX($D33,Z$16),MIN($E33,Z$17),Hari_Libur)/NETWORKDAYS($D33,$E33,Hari_Libur),0)</f>
        <v>0</v>
      </c>
      <c r="AA33" s="53">
        <f t="shared" si="14"/>
        <v>0</v>
      </c>
      <c r="AB33" s="53">
        <f t="shared" si="14"/>
        <v>0</v>
      </c>
      <c r="AC33" s="53">
        <f t="shared" si="14"/>
        <v>0</v>
      </c>
      <c r="AD33" s="53">
        <f t="shared" si="14"/>
        <v>0</v>
      </c>
      <c r="AE33" s="53">
        <f t="shared" si="14"/>
        <v>0</v>
      </c>
      <c r="AF33" s="53">
        <f t="shared" si="14"/>
        <v>0</v>
      </c>
      <c r="AG33" s="53">
        <f t="shared" si="14"/>
        <v>0</v>
      </c>
      <c r="AH33" s="53">
        <f t="shared" si="14"/>
        <v>0</v>
      </c>
      <c r="AI33" s="53">
        <f t="shared" si="14"/>
        <v>0</v>
      </c>
      <c r="AJ33" s="53">
        <f t="shared" ref="AJ33:AS36" si="15">IF(AND($D33&lt;=AJ$17,$E33&gt;=AJ$16),$C33*NETWORKDAYS(MAX($D33,AJ$16),MIN($E33,AJ$17),Hari_Libur)/NETWORKDAYS($D33,$E33,Hari_Libur),0)</f>
        <v>0</v>
      </c>
      <c r="AK33" s="53">
        <f t="shared" si="15"/>
        <v>0</v>
      </c>
      <c r="AL33" s="53">
        <f t="shared" si="15"/>
        <v>0</v>
      </c>
      <c r="AM33" s="53">
        <f t="shared" si="15"/>
        <v>0</v>
      </c>
      <c r="AN33" s="53">
        <f t="shared" si="15"/>
        <v>0</v>
      </c>
      <c r="AO33" s="53">
        <f t="shared" si="15"/>
        <v>0</v>
      </c>
      <c r="AP33" s="53">
        <f t="shared" si="15"/>
        <v>0</v>
      </c>
      <c r="AQ33" s="53">
        <f t="shared" si="15"/>
        <v>0</v>
      </c>
      <c r="AR33" s="53">
        <f t="shared" si="15"/>
        <v>0</v>
      </c>
      <c r="AS33" s="53">
        <f t="shared" si="15"/>
        <v>0</v>
      </c>
      <c r="AT33" s="53">
        <f t="shared" ref="AT33:BC36" si="16">IF(AND($D33&lt;=AT$17,$E33&gt;=AT$16),$C33*NETWORKDAYS(MAX($D33,AT$16),MIN($E33,AT$17),Hari_Libur)/NETWORKDAYS($D33,$E33,Hari_Libur),0)</f>
        <v>0</v>
      </c>
      <c r="AU33" s="53">
        <f t="shared" si="16"/>
        <v>0</v>
      </c>
      <c r="AV33" s="53">
        <f t="shared" si="16"/>
        <v>0</v>
      </c>
      <c r="AW33" s="53">
        <f t="shared" si="16"/>
        <v>0</v>
      </c>
      <c r="AX33" s="53">
        <f t="shared" si="16"/>
        <v>0</v>
      </c>
      <c r="AY33" s="53">
        <f t="shared" si="16"/>
        <v>0</v>
      </c>
      <c r="AZ33" s="53">
        <f t="shared" si="16"/>
        <v>0</v>
      </c>
      <c r="BA33" s="53">
        <f t="shared" si="16"/>
        <v>0</v>
      </c>
      <c r="BB33" s="53">
        <f t="shared" si="16"/>
        <v>0</v>
      </c>
      <c r="BC33" s="53">
        <f t="shared" si="16"/>
        <v>0</v>
      </c>
      <c r="BD33" s="53">
        <f t="shared" ref="BD33:BK36" si="17">IF(AND($D33&lt;=BD$17,$E33&gt;=BD$16),$C33*NETWORKDAYS(MAX($D33,BD$16),MIN($E33,BD$17),Hari_Libur)/NETWORKDAYS($D33,$E33,Hari_Libur),0)</f>
        <v>0</v>
      </c>
      <c r="BE33" s="53">
        <f t="shared" si="17"/>
        <v>0</v>
      </c>
      <c r="BF33" s="53">
        <f t="shared" si="17"/>
        <v>0</v>
      </c>
      <c r="BG33" s="53">
        <f t="shared" si="17"/>
        <v>0</v>
      </c>
      <c r="BH33" s="53">
        <f t="shared" si="17"/>
        <v>0</v>
      </c>
      <c r="BI33" s="53">
        <f t="shared" si="17"/>
        <v>0</v>
      </c>
      <c r="BJ33" s="53">
        <f t="shared" si="17"/>
        <v>0</v>
      </c>
      <c r="BK33" s="53">
        <f t="shared" si="17"/>
        <v>0</v>
      </c>
    </row>
    <row r="34" spans="1:63" x14ac:dyDescent="0.25">
      <c r="A34" s="45"/>
      <c r="B34" s="55" t="s">
        <v>86</v>
      </c>
      <c r="C34" s="48">
        <v>0.05</v>
      </c>
      <c r="D34" s="47">
        <v>46178</v>
      </c>
      <c r="E34" s="47">
        <v>46182</v>
      </c>
      <c r="F34" s="7">
        <f>C34</f>
        <v>0.05</v>
      </c>
      <c r="G34" s="48">
        <f>SUM(P34:AZ34)</f>
        <v>5.000000000000001E-2</v>
      </c>
      <c r="H34" s="49">
        <f>NETWORKDAYS(D34,E34,Hari_Libur)</f>
        <v>3</v>
      </c>
      <c r="I34" s="50">
        <f>IF($C$8&gt;=E34,1,IF($C$8&lt;D34,0,IF(NETWORKDAYS(D34,E34,Hari_Libur)=0,0,NETWORKDAYS(D34,$C$8,Hari_Libur)/NETWORKDAYS(D34,E34,Hari_Libur))))</f>
        <v>0</v>
      </c>
      <c r="J34" s="50">
        <f>I34*F34</f>
        <v>0</v>
      </c>
      <c r="K34" s="50">
        <v>0</v>
      </c>
      <c r="L34" s="50">
        <f>C34*K34</f>
        <v>0</v>
      </c>
      <c r="M34" s="50">
        <f>L34-J34</f>
        <v>0</v>
      </c>
      <c r="N34" s="51">
        <f>C34</f>
        <v>0.05</v>
      </c>
      <c r="O34" s="52">
        <f>SUM(P34:BK34)</f>
        <v>5.000000000000001E-2</v>
      </c>
      <c r="P34" s="53">
        <f t="shared" si="13"/>
        <v>0</v>
      </c>
      <c r="Q34" s="53">
        <f t="shared" si="13"/>
        <v>0</v>
      </c>
      <c r="R34" s="53">
        <f t="shared" si="13"/>
        <v>0</v>
      </c>
      <c r="S34" s="53">
        <f t="shared" si="13"/>
        <v>0</v>
      </c>
      <c r="T34" s="53">
        <f t="shared" si="13"/>
        <v>5.000000000000001E-2</v>
      </c>
      <c r="U34" s="53">
        <f t="shared" si="13"/>
        <v>0</v>
      </c>
      <c r="V34" s="53">
        <f t="shared" si="13"/>
        <v>0</v>
      </c>
      <c r="W34" s="53">
        <f t="shared" si="13"/>
        <v>0</v>
      </c>
      <c r="X34" s="53">
        <f t="shared" si="13"/>
        <v>0</v>
      </c>
      <c r="Y34" s="53">
        <f t="shared" si="13"/>
        <v>0</v>
      </c>
      <c r="Z34" s="53">
        <f t="shared" si="14"/>
        <v>0</v>
      </c>
      <c r="AA34" s="53">
        <f t="shared" si="14"/>
        <v>0</v>
      </c>
      <c r="AB34" s="53">
        <f t="shared" si="14"/>
        <v>0</v>
      </c>
      <c r="AC34" s="53">
        <f t="shared" si="14"/>
        <v>0</v>
      </c>
      <c r="AD34" s="53">
        <f t="shared" si="14"/>
        <v>0</v>
      </c>
      <c r="AE34" s="53">
        <f t="shared" si="14"/>
        <v>0</v>
      </c>
      <c r="AF34" s="53">
        <f t="shared" si="14"/>
        <v>0</v>
      </c>
      <c r="AG34" s="53">
        <f t="shared" si="14"/>
        <v>0</v>
      </c>
      <c r="AH34" s="53">
        <f t="shared" si="14"/>
        <v>0</v>
      </c>
      <c r="AI34" s="53">
        <f t="shared" si="14"/>
        <v>0</v>
      </c>
      <c r="AJ34" s="53">
        <f t="shared" si="15"/>
        <v>0</v>
      </c>
      <c r="AK34" s="53">
        <f t="shared" si="15"/>
        <v>0</v>
      </c>
      <c r="AL34" s="53">
        <f t="shared" si="15"/>
        <v>0</v>
      </c>
      <c r="AM34" s="53">
        <f t="shared" si="15"/>
        <v>0</v>
      </c>
      <c r="AN34" s="53">
        <f t="shared" si="15"/>
        <v>0</v>
      </c>
      <c r="AO34" s="53">
        <f t="shared" si="15"/>
        <v>0</v>
      </c>
      <c r="AP34" s="53">
        <f t="shared" si="15"/>
        <v>0</v>
      </c>
      <c r="AQ34" s="53">
        <f t="shared" si="15"/>
        <v>0</v>
      </c>
      <c r="AR34" s="53">
        <f t="shared" si="15"/>
        <v>0</v>
      </c>
      <c r="AS34" s="53">
        <f t="shared" si="15"/>
        <v>0</v>
      </c>
      <c r="AT34" s="53">
        <f t="shared" si="16"/>
        <v>0</v>
      </c>
      <c r="AU34" s="53">
        <f t="shared" si="16"/>
        <v>0</v>
      </c>
      <c r="AV34" s="53">
        <f t="shared" si="16"/>
        <v>0</v>
      </c>
      <c r="AW34" s="53">
        <f t="shared" si="16"/>
        <v>0</v>
      </c>
      <c r="AX34" s="53">
        <f t="shared" si="16"/>
        <v>0</v>
      </c>
      <c r="AY34" s="53">
        <f t="shared" si="16"/>
        <v>0</v>
      </c>
      <c r="AZ34" s="53">
        <f t="shared" si="16"/>
        <v>0</v>
      </c>
      <c r="BA34" s="53">
        <f t="shared" si="16"/>
        <v>0</v>
      </c>
      <c r="BB34" s="53">
        <f t="shared" si="16"/>
        <v>0</v>
      </c>
      <c r="BC34" s="53">
        <f t="shared" si="16"/>
        <v>0</v>
      </c>
      <c r="BD34" s="53">
        <f t="shared" si="17"/>
        <v>0</v>
      </c>
      <c r="BE34" s="53">
        <f t="shared" si="17"/>
        <v>0</v>
      </c>
      <c r="BF34" s="53">
        <f t="shared" si="17"/>
        <v>0</v>
      </c>
      <c r="BG34" s="53">
        <f t="shared" si="17"/>
        <v>0</v>
      </c>
      <c r="BH34" s="53">
        <f t="shared" si="17"/>
        <v>0</v>
      </c>
      <c r="BI34" s="53">
        <f t="shared" si="17"/>
        <v>0</v>
      </c>
      <c r="BJ34" s="53">
        <f t="shared" si="17"/>
        <v>0</v>
      </c>
      <c r="BK34" s="53">
        <f t="shared" si="17"/>
        <v>0</v>
      </c>
    </row>
    <row r="35" spans="1:63" x14ac:dyDescent="0.25">
      <c r="A35" s="45"/>
      <c r="B35" s="55" t="s">
        <v>87</v>
      </c>
      <c r="C35" s="48">
        <v>0.03</v>
      </c>
      <c r="D35" s="47">
        <v>46183</v>
      </c>
      <c r="E35" s="47">
        <v>46184</v>
      </c>
      <c r="F35" s="7">
        <f>C35</f>
        <v>0.03</v>
      </c>
      <c r="G35" s="48">
        <f>SUM(P35:AZ35)</f>
        <v>0.03</v>
      </c>
      <c r="H35" s="49">
        <f>NETWORKDAYS(D35,E35,Hari_Libur)</f>
        <v>2</v>
      </c>
      <c r="I35" s="50">
        <f>IF($C$8&gt;=E35,1,IF($C$8&lt;D35,0,IF(NETWORKDAYS(D35,E35,Hari_Libur)=0,0,NETWORKDAYS(D35,$C$8,Hari_Libur)/NETWORKDAYS(D35,E35,Hari_Libur))))</f>
        <v>0</v>
      </c>
      <c r="J35" s="50">
        <f>I35*F35</f>
        <v>0</v>
      </c>
      <c r="K35" s="50">
        <v>0</v>
      </c>
      <c r="L35" s="50">
        <f>C35*K35</f>
        <v>0</v>
      </c>
      <c r="M35" s="50">
        <f>L35-J35</f>
        <v>0</v>
      </c>
      <c r="N35" s="51">
        <f>C35</f>
        <v>0.03</v>
      </c>
      <c r="O35" s="52">
        <f>SUM(P35:BK35)</f>
        <v>0.03</v>
      </c>
      <c r="P35" s="53">
        <f t="shared" si="13"/>
        <v>0</v>
      </c>
      <c r="Q35" s="53">
        <f t="shared" si="13"/>
        <v>0</v>
      </c>
      <c r="R35" s="53">
        <f t="shared" si="13"/>
        <v>0</v>
      </c>
      <c r="S35" s="53">
        <f t="shared" si="13"/>
        <v>0</v>
      </c>
      <c r="T35" s="53">
        <f t="shared" si="13"/>
        <v>0.03</v>
      </c>
      <c r="U35" s="53">
        <f t="shared" si="13"/>
        <v>0</v>
      </c>
      <c r="V35" s="53">
        <f t="shared" si="13"/>
        <v>0</v>
      </c>
      <c r="W35" s="53">
        <f t="shared" si="13"/>
        <v>0</v>
      </c>
      <c r="X35" s="53">
        <f t="shared" si="13"/>
        <v>0</v>
      </c>
      <c r="Y35" s="53">
        <f t="shared" si="13"/>
        <v>0</v>
      </c>
      <c r="Z35" s="53">
        <f t="shared" si="14"/>
        <v>0</v>
      </c>
      <c r="AA35" s="53">
        <f t="shared" si="14"/>
        <v>0</v>
      </c>
      <c r="AB35" s="53">
        <f t="shared" si="14"/>
        <v>0</v>
      </c>
      <c r="AC35" s="53">
        <f t="shared" si="14"/>
        <v>0</v>
      </c>
      <c r="AD35" s="53">
        <f t="shared" si="14"/>
        <v>0</v>
      </c>
      <c r="AE35" s="53">
        <f t="shared" si="14"/>
        <v>0</v>
      </c>
      <c r="AF35" s="53">
        <f t="shared" si="14"/>
        <v>0</v>
      </c>
      <c r="AG35" s="53">
        <f t="shared" si="14"/>
        <v>0</v>
      </c>
      <c r="AH35" s="53">
        <f t="shared" si="14"/>
        <v>0</v>
      </c>
      <c r="AI35" s="53">
        <f t="shared" si="14"/>
        <v>0</v>
      </c>
      <c r="AJ35" s="53">
        <f t="shared" si="15"/>
        <v>0</v>
      </c>
      <c r="AK35" s="53">
        <f t="shared" si="15"/>
        <v>0</v>
      </c>
      <c r="AL35" s="53">
        <f t="shared" si="15"/>
        <v>0</v>
      </c>
      <c r="AM35" s="53">
        <f t="shared" si="15"/>
        <v>0</v>
      </c>
      <c r="AN35" s="53">
        <f t="shared" si="15"/>
        <v>0</v>
      </c>
      <c r="AO35" s="53">
        <f t="shared" si="15"/>
        <v>0</v>
      </c>
      <c r="AP35" s="53">
        <f t="shared" si="15"/>
        <v>0</v>
      </c>
      <c r="AQ35" s="53">
        <f t="shared" si="15"/>
        <v>0</v>
      </c>
      <c r="AR35" s="53">
        <f t="shared" si="15"/>
        <v>0</v>
      </c>
      <c r="AS35" s="53">
        <f t="shared" si="15"/>
        <v>0</v>
      </c>
      <c r="AT35" s="53">
        <f t="shared" si="16"/>
        <v>0</v>
      </c>
      <c r="AU35" s="53">
        <f t="shared" si="16"/>
        <v>0</v>
      </c>
      <c r="AV35" s="53">
        <f t="shared" si="16"/>
        <v>0</v>
      </c>
      <c r="AW35" s="53">
        <f t="shared" si="16"/>
        <v>0</v>
      </c>
      <c r="AX35" s="53">
        <f t="shared" si="16"/>
        <v>0</v>
      </c>
      <c r="AY35" s="53">
        <f t="shared" si="16"/>
        <v>0</v>
      </c>
      <c r="AZ35" s="53">
        <f t="shared" si="16"/>
        <v>0</v>
      </c>
      <c r="BA35" s="53">
        <f t="shared" si="16"/>
        <v>0</v>
      </c>
      <c r="BB35" s="53">
        <f t="shared" si="16"/>
        <v>0</v>
      </c>
      <c r="BC35" s="53">
        <f t="shared" si="16"/>
        <v>0</v>
      </c>
      <c r="BD35" s="53">
        <f t="shared" si="17"/>
        <v>0</v>
      </c>
      <c r="BE35" s="53">
        <f t="shared" si="17"/>
        <v>0</v>
      </c>
      <c r="BF35" s="53">
        <f t="shared" si="17"/>
        <v>0</v>
      </c>
      <c r="BG35" s="53">
        <f t="shared" si="17"/>
        <v>0</v>
      </c>
      <c r="BH35" s="53">
        <f t="shared" si="17"/>
        <v>0</v>
      </c>
      <c r="BI35" s="53">
        <f t="shared" si="17"/>
        <v>0</v>
      </c>
      <c r="BJ35" s="53">
        <f t="shared" si="17"/>
        <v>0</v>
      </c>
      <c r="BK35" s="53">
        <f t="shared" si="17"/>
        <v>0</v>
      </c>
    </row>
    <row r="36" spans="1:63" x14ac:dyDescent="0.25">
      <c r="A36" s="45"/>
      <c r="B36" s="55" t="s">
        <v>88</v>
      </c>
      <c r="C36" s="48">
        <v>0.05</v>
      </c>
      <c r="D36" s="47">
        <v>46184</v>
      </c>
      <c r="E36" s="47">
        <v>46184</v>
      </c>
      <c r="F36" s="7">
        <f>C36</f>
        <v>0.05</v>
      </c>
      <c r="G36" s="48">
        <f>SUM(P36:AZ36)</f>
        <v>0.05</v>
      </c>
      <c r="H36" s="49">
        <f>NETWORKDAYS(D36,E36,Hari_Libur)</f>
        <v>1</v>
      </c>
      <c r="I36" s="50">
        <f>IF($C$8&gt;=E36,1,IF($C$8&lt;D36,0,IF(NETWORKDAYS(D36,E36,Hari_Libur)=0,0,NETWORKDAYS(D36,$C$8,Hari_Libur)/NETWORKDAYS(D36,E36,Hari_Libur))))</f>
        <v>0</v>
      </c>
      <c r="J36" s="50">
        <f>I36*F36</f>
        <v>0</v>
      </c>
      <c r="K36" s="50">
        <v>0</v>
      </c>
      <c r="L36" s="50">
        <f>C36*K36</f>
        <v>0</v>
      </c>
      <c r="M36" s="50">
        <f>L36-J36</f>
        <v>0</v>
      </c>
      <c r="N36" s="51">
        <f>C36</f>
        <v>0.05</v>
      </c>
      <c r="O36" s="52">
        <f>SUM(P36:BK36)</f>
        <v>0.05</v>
      </c>
      <c r="P36" s="53">
        <f t="shared" si="13"/>
        <v>0</v>
      </c>
      <c r="Q36" s="53">
        <f t="shared" si="13"/>
        <v>0</v>
      </c>
      <c r="R36" s="53">
        <f t="shared" si="13"/>
        <v>0</v>
      </c>
      <c r="S36" s="53">
        <f t="shared" si="13"/>
        <v>0</v>
      </c>
      <c r="T36" s="53">
        <f t="shared" si="13"/>
        <v>0.05</v>
      </c>
      <c r="U36" s="53">
        <f t="shared" si="13"/>
        <v>0</v>
      </c>
      <c r="V36" s="53">
        <f t="shared" si="13"/>
        <v>0</v>
      </c>
      <c r="W36" s="53">
        <f t="shared" si="13"/>
        <v>0</v>
      </c>
      <c r="X36" s="53">
        <f t="shared" si="13"/>
        <v>0</v>
      </c>
      <c r="Y36" s="53">
        <f t="shared" si="13"/>
        <v>0</v>
      </c>
      <c r="Z36" s="53">
        <f t="shared" si="14"/>
        <v>0</v>
      </c>
      <c r="AA36" s="53">
        <f t="shared" si="14"/>
        <v>0</v>
      </c>
      <c r="AB36" s="53">
        <f t="shared" si="14"/>
        <v>0</v>
      </c>
      <c r="AC36" s="53">
        <f t="shared" si="14"/>
        <v>0</v>
      </c>
      <c r="AD36" s="53">
        <f t="shared" si="14"/>
        <v>0</v>
      </c>
      <c r="AE36" s="53">
        <f t="shared" si="14"/>
        <v>0</v>
      </c>
      <c r="AF36" s="53">
        <f t="shared" si="14"/>
        <v>0</v>
      </c>
      <c r="AG36" s="53">
        <f t="shared" si="14"/>
        <v>0</v>
      </c>
      <c r="AH36" s="53">
        <f t="shared" si="14"/>
        <v>0</v>
      </c>
      <c r="AI36" s="53">
        <f t="shared" si="14"/>
        <v>0</v>
      </c>
      <c r="AJ36" s="53">
        <f t="shared" si="15"/>
        <v>0</v>
      </c>
      <c r="AK36" s="53">
        <f t="shared" si="15"/>
        <v>0</v>
      </c>
      <c r="AL36" s="53">
        <f t="shared" si="15"/>
        <v>0</v>
      </c>
      <c r="AM36" s="53">
        <f t="shared" si="15"/>
        <v>0</v>
      </c>
      <c r="AN36" s="53">
        <f t="shared" si="15"/>
        <v>0</v>
      </c>
      <c r="AO36" s="53">
        <f t="shared" si="15"/>
        <v>0</v>
      </c>
      <c r="AP36" s="53">
        <f t="shared" si="15"/>
        <v>0</v>
      </c>
      <c r="AQ36" s="53">
        <f t="shared" si="15"/>
        <v>0</v>
      </c>
      <c r="AR36" s="53">
        <f t="shared" si="15"/>
        <v>0</v>
      </c>
      <c r="AS36" s="53">
        <f t="shared" si="15"/>
        <v>0</v>
      </c>
      <c r="AT36" s="53">
        <f t="shared" si="16"/>
        <v>0</v>
      </c>
      <c r="AU36" s="53">
        <f t="shared" si="16"/>
        <v>0</v>
      </c>
      <c r="AV36" s="53">
        <f t="shared" si="16"/>
        <v>0</v>
      </c>
      <c r="AW36" s="53">
        <f t="shared" si="16"/>
        <v>0</v>
      </c>
      <c r="AX36" s="53">
        <f t="shared" si="16"/>
        <v>0</v>
      </c>
      <c r="AY36" s="53">
        <f t="shared" si="16"/>
        <v>0</v>
      </c>
      <c r="AZ36" s="53">
        <f t="shared" si="16"/>
        <v>0</v>
      </c>
      <c r="BA36" s="53">
        <f t="shared" si="16"/>
        <v>0</v>
      </c>
      <c r="BB36" s="53">
        <f t="shared" si="16"/>
        <v>0</v>
      </c>
      <c r="BC36" s="53">
        <f t="shared" si="16"/>
        <v>0</v>
      </c>
      <c r="BD36" s="53">
        <f t="shared" si="17"/>
        <v>0</v>
      </c>
      <c r="BE36" s="53">
        <f t="shared" si="17"/>
        <v>0</v>
      </c>
      <c r="BF36" s="53">
        <f t="shared" si="17"/>
        <v>0</v>
      </c>
      <c r="BG36" s="53">
        <f t="shared" si="17"/>
        <v>0</v>
      </c>
      <c r="BH36" s="53">
        <f t="shared" si="17"/>
        <v>0</v>
      </c>
      <c r="BI36" s="53">
        <f t="shared" si="17"/>
        <v>0</v>
      </c>
      <c r="BJ36" s="53">
        <f t="shared" si="17"/>
        <v>0</v>
      </c>
      <c r="BK36" s="53">
        <f t="shared" si="17"/>
        <v>0</v>
      </c>
    </row>
    <row r="37" spans="1:63" x14ac:dyDescent="0.25">
      <c r="A37" s="45"/>
      <c r="B37" s="55"/>
      <c r="C37" s="48"/>
      <c r="D37" s="47"/>
      <c r="E37" s="47"/>
      <c r="F37" s="7"/>
      <c r="G37" s="48"/>
      <c r="H37" s="49"/>
      <c r="I37" s="48"/>
      <c r="J37" s="48"/>
      <c r="K37" s="48"/>
      <c r="L37" s="48"/>
      <c r="M37" s="48"/>
      <c r="N37" s="51"/>
      <c r="O37" s="52"/>
      <c r="P37" s="53">
        <f>IF(AND($D37&lt;=P$17,$E37&gt;=P$16),$C37*NETWORKDAYS(MAX($D37,P$16),MIN($E37,P$17),Libur!$A$2:$A$38)/NETWORKDAYS($D37,$E37,Libur!$A$2:$A$38),0)</f>
        <v>0</v>
      </c>
      <c r="Q37" s="53">
        <f>IF(AND($D37&lt;=Q$17,$E37&gt;=Q$16),$C37*NETWORKDAYS(MAX($D37,Q$16),MIN($E37,Q$17),Libur!$A$2:$A$38)/NETWORKDAYS($D37,$E37,Libur!$A$2:$A$38),0)</f>
        <v>0</v>
      </c>
      <c r="R37" s="53">
        <f>IF(AND($D37&lt;=R$17,$E37&gt;=R$16),$C37*NETWORKDAYS(MAX($D37,R$16),MIN($E37,R$17),Libur!$A$2:$A$38)/NETWORKDAYS($D37,$E37,Libur!$A$2:$A$38),0)</f>
        <v>0</v>
      </c>
      <c r="S37" s="53">
        <f>IF(AND($D37&lt;=S$17,$E37&gt;=S$16),$C37*NETWORKDAYS(MAX($D37,S$16),MIN($E37,S$17),Libur!$A$2:$A$38)/NETWORKDAYS($D37,$E37,Libur!$A$2:$A$38),0)</f>
        <v>0</v>
      </c>
      <c r="T37" s="53">
        <f>IF(AND($D37&lt;=T$17,$E37&gt;=T$16),$C37*NETWORKDAYS(MAX($D37,T$16),MIN($E37,T$17),Libur!$A$2:$A$38)/NETWORKDAYS($D37,$E37,Libur!$A$2:$A$38),0)</f>
        <v>0</v>
      </c>
      <c r="U37" s="53">
        <f>IF(AND($D37&lt;=U$17,$E37&gt;=U$16),$C37*NETWORKDAYS(MAX($D37,U$16),MIN($E37,U$17),Libur!$A$2:$A$38)/NETWORKDAYS($D37,$E37,Libur!$A$2:$A$38),0)</f>
        <v>0</v>
      </c>
      <c r="V37" s="53">
        <f>IF(AND($D37&lt;=V$17,$E37&gt;=V$16),$C37*NETWORKDAYS(MAX($D37,V$16),MIN($E37,V$17),Libur!$A$2:$A$38)/NETWORKDAYS($D37,$E37,Libur!$A$2:$A$38),0)</f>
        <v>0</v>
      </c>
      <c r="W37" s="53">
        <f>IF(AND($D37&lt;=W$17,$E37&gt;=W$16),$C37*NETWORKDAYS(MAX($D37,W$16),MIN($E37,W$17),Libur!$A$2:$A$38)/NETWORKDAYS($D37,$E37,Libur!$A$2:$A$38),0)</f>
        <v>0</v>
      </c>
      <c r="X37" s="53">
        <f>IF(AND($D37&lt;=X$17,$E37&gt;=X$16),$C37*NETWORKDAYS(MAX($D37,X$16),MIN($E37,X$17),Libur!$A$2:$A$38)/NETWORKDAYS($D37,$E37,Libur!$A$2:$A$38),0)</f>
        <v>0</v>
      </c>
      <c r="Y37" s="53">
        <f>IF(AND($D37&lt;=Y$17,$E37&gt;=Y$16),$C37*NETWORKDAYS(MAX($D37,Y$16),MIN($E37,Y$17),Libur!$A$2:$A$38)/NETWORKDAYS($D37,$E37,Libur!$A$2:$A$38),0)</f>
        <v>0</v>
      </c>
      <c r="Z37" s="53">
        <f>IF(AND($D37&lt;=Z$17,$E37&gt;=Z$16),$C37*NETWORKDAYS(MAX($D37,Z$16),MIN($E37,Z$17),Libur!$A$2:$A$38)/NETWORKDAYS($D37,$E37,Libur!$A$2:$A$38),0)</f>
        <v>0</v>
      </c>
      <c r="AA37" s="53">
        <f>IF(AND($D37&lt;=AA$17,$E37&gt;=AA$16),$C37*NETWORKDAYS(MAX($D37,AA$16),MIN($E37,AA$17),Libur!$A$2:$A$38)/NETWORKDAYS($D37,$E37,Libur!$A$2:$A$38),0)</f>
        <v>0</v>
      </c>
      <c r="AB37" s="53">
        <f>IF(AND($D37&lt;=AB$17,$E37&gt;=AB$16),$C37*NETWORKDAYS(MAX($D37,AB$16),MIN($E37,AB$17),Libur!$A$2:$A$38)/NETWORKDAYS($D37,$E37,Libur!$A$2:$A$38),0)</f>
        <v>0</v>
      </c>
      <c r="AC37" s="53">
        <f>IF(AND($D37&lt;=AC$17,$E37&gt;=AC$16),$C37*NETWORKDAYS(MAX($D37,AC$16),MIN($E37,AC$17),Libur!$A$2:$A$38)/NETWORKDAYS($D37,$E37,Libur!$A$2:$A$38),0)</f>
        <v>0</v>
      </c>
      <c r="AD37" s="53">
        <f>IF(AND($D37&lt;=AD$17,$E37&gt;=AD$16),$C37*NETWORKDAYS(MAX($D37,AD$16),MIN($E37,AD$17),Libur!$A$2:$A$38)/NETWORKDAYS($D37,$E37,Libur!$A$2:$A$38),0)</f>
        <v>0</v>
      </c>
      <c r="AE37" s="53">
        <f>IF(AND($D37&lt;=AE$17,$E37&gt;=AE$16),$C37*NETWORKDAYS(MAX($D37,AE$16),MIN($E37,AE$17),Libur!$A$2:$A$38)/NETWORKDAYS($D37,$E37,Libur!$A$2:$A$38),0)</f>
        <v>0</v>
      </c>
      <c r="AF37" s="53">
        <f>IF(AND($D37&lt;=AF$17,$E37&gt;=AF$16),$C37*NETWORKDAYS(MAX($D37,AF$16),MIN($E37,AF$17),Libur!$A$2:$A$38)/NETWORKDAYS($D37,$E37,Libur!$A$2:$A$38),0)</f>
        <v>0</v>
      </c>
      <c r="AG37" s="53">
        <f>IF(AND($D37&lt;=AG$17,$E37&gt;=AG$16),$C37*NETWORKDAYS(MAX($D37,AG$16),MIN($E37,AG$17),Libur!$A$2:$A$38)/NETWORKDAYS($D37,$E37,Libur!$A$2:$A$38),0)</f>
        <v>0</v>
      </c>
      <c r="AH37" s="53">
        <f>IF(AND($D37&lt;=AH$17,$E37&gt;=AH$16),$C37*NETWORKDAYS(MAX($D37,AH$16),MIN($E37,AH$17),Libur!$A$2:$A$38)/NETWORKDAYS($D37,$E37,Libur!$A$2:$A$38),0)</f>
        <v>0</v>
      </c>
      <c r="AI37" s="53">
        <f>IF(AND($D37&lt;=AI$17,$E37&gt;=AI$16),$C37*NETWORKDAYS(MAX($D37,AI$16),MIN($E37,AI$17),Libur!$A$2:$A$38)/NETWORKDAYS($D37,$E37,Libur!$A$2:$A$38),0)</f>
        <v>0</v>
      </c>
      <c r="AJ37" s="53">
        <f>IF(AND($D37&lt;=AJ$17,$E37&gt;=AJ$16),$C37*NETWORKDAYS(MAX($D37,AJ$16),MIN($E37,AJ$17),Libur!$A$2:$A$38)/NETWORKDAYS($D37,$E37,Libur!$A$2:$A$38),0)</f>
        <v>0</v>
      </c>
      <c r="AK37" s="53">
        <f>IF(AND($D37&lt;=AK$17,$E37&gt;=AK$16),$C37*NETWORKDAYS(MAX($D37,AK$16),MIN($E37,AK$17),Libur!$A$2:$A$38)/NETWORKDAYS($D37,$E37,Libur!$A$2:$A$38),0)</f>
        <v>0</v>
      </c>
      <c r="AL37" s="53">
        <f>IF(AND($D37&lt;=AL$17,$E37&gt;=AL$16),$C37*NETWORKDAYS(MAX($D37,AL$16),MIN($E37,AL$17),Libur!$A$2:$A$38)/NETWORKDAYS($D37,$E37,Libur!$A$2:$A$38),0)</f>
        <v>0</v>
      </c>
      <c r="AM37" s="53">
        <f>IF(AND($D37&lt;=AM$17,$E37&gt;=AM$16),$C37*NETWORKDAYS(MAX($D37,AM$16),MIN($E37,AM$17),Libur!$A$2:$A$38)/NETWORKDAYS($D37,$E37,Libur!$A$2:$A$38),0)</f>
        <v>0</v>
      </c>
      <c r="AN37" s="53">
        <f>IF(AND($D37&lt;=AN$17,$E37&gt;=AN$16),$C37*NETWORKDAYS(MAX($D37,AN$16),MIN($E37,AN$17),Libur!$A$2:$A$38)/NETWORKDAYS($D37,$E37,Libur!$A$2:$A$38),0)</f>
        <v>0</v>
      </c>
      <c r="AO37" s="53">
        <f>IF(AND($D37&lt;=AO$17,$E37&gt;=AO$16),$C37*NETWORKDAYS(MAX($D37,AO$16),MIN($E37,AO$17),Libur!$A$2:$A$38)/NETWORKDAYS($D37,$E37,Libur!$A$2:$A$38),0)</f>
        <v>0</v>
      </c>
      <c r="AP37" s="53">
        <f>IF(AND($D37&lt;=AP$17,$E37&gt;=AP$16),$C37*NETWORKDAYS(MAX($D37,AP$16),MIN($E37,AP$17),Libur!$A$2:$A$38)/NETWORKDAYS($D37,$E37,Libur!$A$2:$A$38),0)</f>
        <v>0</v>
      </c>
      <c r="AQ37" s="53">
        <f>IF(AND($D37&lt;=AQ$17,$E37&gt;=AQ$16),$C37*NETWORKDAYS(MAX($D37,AQ$16),MIN($E37,AQ$17),Libur!$A$2:$A$38)/NETWORKDAYS($D37,$E37,Libur!$A$2:$A$38),0)</f>
        <v>0</v>
      </c>
      <c r="AR37" s="53">
        <f>IF(AND($D37&lt;=AR$17,$E37&gt;=AR$16),$C37*NETWORKDAYS(MAX($D37,AR$16),MIN($E37,AR$17),Libur!$A$2:$A$38)/NETWORKDAYS($D37,$E37,Libur!$A$2:$A$38),0)</f>
        <v>0</v>
      </c>
      <c r="AS37" s="53">
        <f>IF(AND($D37&lt;=AS$17,$E37&gt;=AS$16),$C37*NETWORKDAYS(MAX($D37,AS$16),MIN($E37,AS$17),Libur!$A$2:$A$38)/NETWORKDAYS($D37,$E37,Libur!$A$2:$A$38),0)</f>
        <v>0</v>
      </c>
      <c r="AT37" s="53">
        <f>IF(AND($D37&lt;=AT$17,$E37&gt;=AT$16),$C37*NETWORKDAYS(MAX($D37,AT$16),MIN($E37,AT$17),Libur!$A$2:$A$38)/NETWORKDAYS($D37,$E37,Libur!$A$2:$A$38),0)</f>
        <v>0</v>
      </c>
      <c r="AU37" s="53">
        <f>IF(AND($D37&lt;=AU$17,$E37&gt;=AU$16),$C37*NETWORKDAYS(MAX($D37,AU$16),MIN($E37,AU$17),Libur!$A$2:$A$38)/NETWORKDAYS($D37,$E37,Libur!$A$2:$A$38),0)</f>
        <v>0</v>
      </c>
      <c r="AV37" s="53">
        <f>IF(AND($D37&lt;=AV$17,$E37&gt;=AV$16),$C37*NETWORKDAYS(MAX($D37,AV$16),MIN($E37,AV$17),Libur!$A$2:$A$38)/NETWORKDAYS($D37,$E37,Libur!$A$2:$A$38),0)</f>
        <v>0</v>
      </c>
      <c r="AW37" s="53">
        <f>IF(AND($D37&lt;=AW$17,$E37&gt;=AW$16),$C37*NETWORKDAYS(MAX($D37,AW$16),MIN($E37,AW$17),Libur!$A$2:$A$38)/NETWORKDAYS($D37,$E37,Libur!$A$2:$A$38),0)</f>
        <v>0</v>
      </c>
      <c r="AX37" s="53">
        <f>IF(AND($D37&lt;=AX$17,$E37&gt;=AX$16),$C37*NETWORKDAYS(MAX($D37,AX$16),MIN($E37,AX$17),Libur!$A$2:$A$38)/NETWORKDAYS($D37,$E37,Libur!$A$2:$A$38),0)</f>
        <v>0</v>
      </c>
      <c r="AY37" s="53">
        <f>IF(AND($D37&lt;=AY$17,$E37&gt;=AY$16),$C37*NETWORKDAYS(MAX($D37,AY$16),MIN($E37,AY$17),Libur!$A$2:$A$38)/NETWORKDAYS($D37,$E37,Libur!$A$2:$A$38),0)</f>
        <v>0</v>
      </c>
      <c r="AZ37" s="53">
        <f>IF(AND($D37&lt;=AZ$17,$E37&gt;=AZ$16),$C37*NETWORKDAYS(MAX($D37,AZ$16),MIN($E37,AZ$17),Libur!$A$2:$A$38)/NETWORKDAYS($D37,$E37,Libur!$A$2:$A$38),0)</f>
        <v>0</v>
      </c>
      <c r="BA37" s="53">
        <f>IF(AND($D37&lt;=BA$17,$E37&gt;=BA$16),$C37*NETWORKDAYS(MAX($D37,BA$16),MIN($E37,BA$17),Libur!$A$2:$A$38)/NETWORKDAYS($D37,$E37,Libur!$A$2:$A$38),0)</f>
        <v>0</v>
      </c>
      <c r="BB37" s="53">
        <f>IF(AND($D37&lt;=BB$17,$E37&gt;=BB$16),$C37*NETWORKDAYS(MAX($D37,BB$16),MIN($E37,BB$17),Libur!$A$2:$A$38)/NETWORKDAYS($D37,$E37,Libur!$A$2:$A$38),0)</f>
        <v>0</v>
      </c>
      <c r="BC37" s="53">
        <f>IF(AND($D37&lt;=BC$17,$E37&gt;=BC$16),$C37*NETWORKDAYS(MAX($D37,BC$16),MIN($E37,BC$17),Libur!$A$2:$A$38)/NETWORKDAYS($D37,$E37,Libur!$A$2:$A$38),0)</f>
        <v>0</v>
      </c>
      <c r="BD37" s="53">
        <f>IF(AND($D37&lt;=BD$17,$E37&gt;=BD$16),$C37*NETWORKDAYS(MAX($D37,BD$16),MIN($E37,BD$17),Libur!$A$2:$A$38)/NETWORKDAYS($D37,$E37,Libur!$A$2:$A$38),0)</f>
        <v>0</v>
      </c>
      <c r="BE37" s="53">
        <f>IF(AND($D37&lt;=BE$17,$E37&gt;=BE$16),$C37*NETWORKDAYS(MAX($D37,BE$16),MIN($E37,BE$17),Libur!$A$2:$A$38)/NETWORKDAYS($D37,$E37,Libur!$A$2:$A$38),0)</f>
        <v>0</v>
      </c>
      <c r="BF37" s="53">
        <f>IF(AND($D37&lt;=BF$17,$E37&gt;=BF$16),$C37*NETWORKDAYS(MAX($D37,BF$16),MIN($E37,BF$17),Libur!$A$2:$A$38)/NETWORKDAYS($D37,$E37,Libur!$A$2:$A$38),0)</f>
        <v>0</v>
      </c>
      <c r="BG37" s="53">
        <f>IF(AND($D37&lt;=BG$17,$E37&gt;=BG$16),$C37*NETWORKDAYS(MAX($D37,BG$16),MIN($E37,BG$17),Libur!$A$2:$A$38)/NETWORKDAYS($D37,$E37,Libur!$A$2:$A$38),0)</f>
        <v>0</v>
      </c>
      <c r="BH37" s="53">
        <f>IF(AND($D37&lt;=BH$17,$E37&gt;=BH$16),$C37*NETWORKDAYS(MAX($D37,BH$16),MIN($E37,BH$17),Libur!$A$2:$A$38)/NETWORKDAYS($D37,$E37,Libur!$A$2:$A$38),0)</f>
        <v>0</v>
      </c>
      <c r="BI37" s="53">
        <f>IF(AND($D37&lt;=BI$17,$E37&gt;=BI$16),$C37*NETWORKDAYS(MAX($D37,BI$16),MIN($E37,BI$17),Libur!$A$2:$A$38)/NETWORKDAYS($D37,$E37,Libur!$A$2:$A$38),0)</f>
        <v>0</v>
      </c>
      <c r="BJ37" s="53">
        <f>IF(AND($D37&lt;=BJ$17,$E37&gt;=BJ$16),$C37*NETWORKDAYS(MAX($D37,BJ$16),MIN($E37,BJ$17),Libur!$A$2:$A$38)/NETWORKDAYS($D37,$E37,Libur!$A$2:$A$38),0)</f>
        <v>0</v>
      </c>
      <c r="BK37" s="53">
        <f>IF(AND($D37&lt;=BK$17,$E37&gt;=BK$16),$C37*NETWORKDAYS(MAX($D37,BK$16),MIN($E37,BK$17),Libur!$A$2:$A$38)/NETWORKDAYS($D37,$E37,Libur!$A$2:$A$38),0)</f>
        <v>0</v>
      </c>
    </row>
    <row r="38" spans="1:63" s="9" customFormat="1" x14ac:dyDescent="0.25">
      <c r="A38" s="36" t="s">
        <v>89</v>
      </c>
      <c r="B38" s="9" t="s">
        <v>90</v>
      </c>
      <c r="C38" s="37">
        <f>SUM(C39:C41)</f>
        <v>0.42</v>
      </c>
      <c r="D38" s="56">
        <f>MIN(D39:D41)</f>
        <v>46185</v>
      </c>
      <c r="E38" s="56">
        <f>MAX(E39:E41)</f>
        <v>46219</v>
      </c>
      <c r="F38" s="48"/>
      <c r="G38" s="48"/>
      <c r="H38" s="40">
        <f>NETWORKDAYS(D38,E38,Hari_Libur)</f>
        <v>24</v>
      </c>
      <c r="I38" s="41">
        <f>IF(C38=0,0,J38/C38)</f>
        <v>0</v>
      </c>
      <c r="J38" s="41">
        <f>SUM(J39:J41)</f>
        <v>0</v>
      </c>
      <c r="K38" s="41">
        <f>IF(C38=0,0,L38/C38)</f>
        <v>0</v>
      </c>
      <c r="L38" s="41">
        <f>SUM(L39:L41)</f>
        <v>0</v>
      </c>
      <c r="M38" s="41">
        <f>SUM(M39:M41)</f>
        <v>0</v>
      </c>
      <c r="N38" s="51"/>
      <c r="O38" s="52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</row>
    <row r="39" spans="1:63" x14ac:dyDescent="0.25">
      <c r="A39" s="45"/>
      <c r="B39" s="46" t="s">
        <v>91</v>
      </c>
      <c r="C39" s="48">
        <v>0.15</v>
      </c>
      <c r="D39" s="47">
        <v>46185</v>
      </c>
      <c r="E39" s="47">
        <v>46205</v>
      </c>
      <c r="F39" s="7">
        <f>C39</f>
        <v>0.15</v>
      </c>
      <c r="G39" s="48">
        <f>SUM(P39:AZ39)</f>
        <v>0.15</v>
      </c>
      <c r="H39" s="49">
        <f>NETWORKDAYS(D39,E39,Hari_Libur)</f>
        <v>14</v>
      </c>
      <c r="I39" s="50">
        <f>IF($C$8&gt;=E39,1,IF($C$8&lt;D39,0,IF(NETWORKDAYS(D39,E39,Hari_Libur)=0,0,NETWORKDAYS(D39,$C$8,Hari_Libur)/NETWORKDAYS(D39,E39,Hari_Libur))))</f>
        <v>0</v>
      </c>
      <c r="J39" s="50">
        <f>I39*F39</f>
        <v>0</v>
      </c>
      <c r="K39" s="50">
        <v>0</v>
      </c>
      <c r="L39" s="50">
        <f>C39*K39</f>
        <v>0</v>
      </c>
      <c r="M39" s="50">
        <f>L39-J39</f>
        <v>0</v>
      </c>
      <c r="N39" s="51">
        <f>C39</f>
        <v>0.15</v>
      </c>
      <c r="O39" s="52">
        <f>SUM(P39:BK39)</f>
        <v>0.15</v>
      </c>
      <c r="P39" s="53">
        <f t="shared" ref="P39:Y41" si="18">IF(AND($D39&lt;=P$17,$E39&gt;=P$16),$C39*NETWORKDAYS(MAX($D39,P$16),MIN($E39,P$17),Hari_Libur)/NETWORKDAYS($D39,$E39,Hari_Libur),0)</f>
        <v>0</v>
      </c>
      <c r="Q39" s="53">
        <f t="shared" si="18"/>
        <v>0</v>
      </c>
      <c r="R39" s="53">
        <f t="shared" si="18"/>
        <v>0</v>
      </c>
      <c r="S39" s="53">
        <f t="shared" si="18"/>
        <v>0</v>
      </c>
      <c r="T39" s="53">
        <f t="shared" si="18"/>
        <v>0</v>
      </c>
      <c r="U39" s="53">
        <f t="shared" si="18"/>
        <v>4.2857142857142858E-2</v>
      </c>
      <c r="V39" s="53">
        <f t="shared" si="18"/>
        <v>5.3571428571428568E-2</v>
      </c>
      <c r="W39" s="53">
        <f t="shared" si="18"/>
        <v>5.3571428571428568E-2</v>
      </c>
      <c r="X39" s="53">
        <f t="shared" si="18"/>
        <v>0</v>
      </c>
      <c r="Y39" s="53">
        <f t="shared" si="18"/>
        <v>0</v>
      </c>
      <c r="Z39" s="53">
        <f t="shared" ref="Z39:AI41" si="19">IF(AND($D39&lt;=Z$17,$E39&gt;=Z$16),$C39*NETWORKDAYS(MAX($D39,Z$16),MIN($E39,Z$17),Hari_Libur)/NETWORKDAYS($D39,$E39,Hari_Libur),0)</f>
        <v>0</v>
      </c>
      <c r="AA39" s="53">
        <f t="shared" si="19"/>
        <v>0</v>
      </c>
      <c r="AB39" s="53">
        <f t="shared" si="19"/>
        <v>0</v>
      </c>
      <c r="AC39" s="53">
        <f t="shared" si="19"/>
        <v>0</v>
      </c>
      <c r="AD39" s="53">
        <f t="shared" si="19"/>
        <v>0</v>
      </c>
      <c r="AE39" s="53">
        <f t="shared" si="19"/>
        <v>0</v>
      </c>
      <c r="AF39" s="53">
        <f t="shared" si="19"/>
        <v>0</v>
      </c>
      <c r="AG39" s="53">
        <f t="shared" si="19"/>
        <v>0</v>
      </c>
      <c r="AH39" s="53">
        <f t="shared" si="19"/>
        <v>0</v>
      </c>
      <c r="AI39" s="53">
        <f t="shared" si="19"/>
        <v>0</v>
      </c>
      <c r="AJ39" s="53">
        <f t="shared" ref="AJ39:AS41" si="20">IF(AND($D39&lt;=AJ$17,$E39&gt;=AJ$16),$C39*NETWORKDAYS(MAX($D39,AJ$16),MIN($E39,AJ$17),Hari_Libur)/NETWORKDAYS($D39,$E39,Hari_Libur),0)</f>
        <v>0</v>
      </c>
      <c r="AK39" s="53">
        <f t="shared" si="20"/>
        <v>0</v>
      </c>
      <c r="AL39" s="53">
        <f t="shared" si="20"/>
        <v>0</v>
      </c>
      <c r="AM39" s="53">
        <f t="shared" si="20"/>
        <v>0</v>
      </c>
      <c r="AN39" s="53">
        <f t="shared" si="20"/>
        <v>0</v>
      </c>
      <c r="AO39" s="53">
        <f t="shared" si="20"/>
        <v>0</v>
      </c>
      <c r="AP39" s="53">
        <f t="shared" si="20"/>
        <v>0</v>
      </c>
      <c r="AQ39" s="53">
        <f t="shared" si="20"/>
        <v>0</v>
      </c>
      <c r="AR39" s="53">
        <f t="shared" si="20"/>
        <v>0</v>
      </c>
      <c r="AS39" s="53">
        <f t="shared" si="20"/>
        <v>0</v>
      </c>
      <c r="AT39" s="53">
        <f t="shared" ref="AT39:BC41" si="21">IF(AND($D39&lt;=AT$17,$E39&gt;=AT$16),$C39*NETWORKDAYS(MAX($D39,AT$16),MIN($E39,AT$17),Hari_Libur)/NETWORKDAYS($D39,$E39,Hari_Libur),0)</f>
        <v>0</v>
      </c>
      <c r="AU39" s="53">
        <f t="shared" si="21"/>
        <v>0</v>
      </c>
      <c r="AV39" s="53">
        <f t="shared" si="21"/>
        <v>0</v>
      </c>
      <c r="AW39" s="53">
        <f t="shared" si="21"/>
        <v>0</v>
      </c>
      <c r="AX39" s="53">
        <f t="shared" si="21"/>
        <v>0</v>
      </c>
      <c r="AY39" s="53">
        <f t="shared" si="21"/>
        <v>0</v>
      </c>
      <c r="AZ39" s="53">
        <f t="shared" si="21"/>
        <v>0</v>
      </c>
      <c r="BA39" s="53">
        <f t="shared" si="21"/>
        <v>0</v>
      </c>
      <c r="BB39" s="53">
        <f t="shared" si="21"/>
        <v>0</v>
      </c>
      <c r="BC39" s="53">
        <f t="shared" si="21"/>
        <v>0</v>
      </c>
      <c r="BD39" s="53">
        <f t="shared" ref="BD39:BK41" si="22">IF(AND($D39&lt;=BD$17,$E39&gt;=BD$16),$C39*NETWORKDAYS(MAX($D39,BD$16),MIN($E39,BD$17),Hari_Libur)/NETWORKDAYS($D39,$E39,Hari_Libur),0)</f>
        <v>0</v>
      </c>
      <c r="BE39" s="53">
        <f t="shared" si="22"/>
        <v>0</v>
      </c>
      <c r="BF39" s="53">
        <f t="shared" si="22"/>
        <v>0</v>
      </c>
      <c r="BG39" s="53">
        <f t="shared" si="22"/>
        <v>0</v>
      </c>
      <c r="BH39" s="53">
        <f t="shared" si="22"/>
        <v>0</v>
      </c>
      <c r="BI39" s="53">
        <f t="shared" si="22"/>
        <v>0</v>
      </c>
      <c r="BJ39" s="53">
        <f t="shared" si="22"/>
        <v>0</v>
      </c>
      <c r="BK39" s="53">
        <f t="shared" si="22"/>
        <v>0</v>
      </c>
    </row>
    <row r="40" spans="1:63" x14ac:dyDescent="0.25">
      <c r="A40" s="45"/>
      <c r="B40" s="46" t="s">
        <v>92</v>
      </c>
      <c r="C40" s="48">
        <v>0.15</v>
      </c>
      <c r="D40" s="47">
        <v>46189</v>
      </c>
      <c r="E40" s="47">
        <v>46212</v>
      </c>
      <c r="F40" s="7">
        <f>C40</f>
        <v>0.15</v>
      </c>
      <c r="G40" s="48">
        <f>SUM(P40:AZ40)</f>
        <v>0.15000000000000002</v>
      </c>
      <c r="H40" s="49">
        <f>NETWORKDAYS(D40,E40,Hari_Libur)</f>
        <v>17</v>
      </c>
      <c r="I40" s="50">
        <f>IF($C$8&gt;=E40,1,IF($C$8&lt;D40,0,IF(NETWORKDAYS(D40,E40,Hari_Libur)=0,0,NETWORKDAYS(D40,$C$8,Hari_Libur)/NETWORKDAYS(D40,E40,Hari_Libur))))</f>
        <v>0</v>
      </c>
      <c r="J40" s="50">
        <f>I40*F40</f>
        <v>0</v>
      </c>
      <c r="K40" s="50">
        <v>0</v>
      </c>
      <c r="L40" s="50">
        <f>C40*K40</f>
        <v>0</v>
      </c>
      <c r="M40" s="50">
        <f>L40-J40</f>
        <v>0</v>
      </c>
      <c r="N40" s="51">
        <f>C40</f>
        <v>0.15</v>
      </c>
      <c r="O40" s="52">
        <f>SUM(P40:BK40)</f>
        <v>0.15000000000000002</v>
      </c>
      <c r="P40" s="53">
        <f t="shared" si="18"/>
        <v>0</v>
      </c>
      <c r="Q40" s="53">
        <f t="shared" si="18"/>
        <v>0</v>
      </c>
      <c r="R40" s="53">
        <f t="shared" si="18"/>
        <v>0</v>
      </c>
      <c r="S40" s="53">
        <f t="shared" si="18"/>
        <v>0</v>
      </c>
      <c r="T40" s="53">
        <f t="shared" si="18"/>
        <v>0</v>
      </c>
      <c r="U40" s="53">
        <f t="shared" si="18"/>
        <v>1.7647058823529412E-2</v>
      </c>
      <c r="V40" s="53">
        <f t="shared" si="18"/>
        <v>4.4117647058823532E-2</v>
      </c>
      <c r="W40" s="53">
        <f t="shared" si="18"/>
        <v>4.4117647058823532E-2</v>
      </c>
      <c r="X40" s="53">
        <f t="shared" si="18"/>
        <v>4.4117647058823532E-2</v>
      </c>
      <c r="Y40" s="53">
        <f t="shared" si="18"/>
        <v>0</v>
      </c>
      <c r="Z40" s="53">
        <f t="shared" si="19"/>
        <v>0</v>
      </c>
      <c r="AA40" s="53">
        <f t="shared" si="19"/>
        <v>0</v>
      </c>
      <c r="AB40" s="53">
        <f t="shared" si="19"/>
        <v>0</v>
      </c>
      <c r="AC40" s="53">
        <f t="shared" si="19"/>
        <v>0</v>
      </c>
      <c r="AD40" s="53">
        <f t="shared" si="19"/>
        <v>0</v>
      </c>
      <c r="AE40" s="53">
        <f t="shared" si="19"/>
        <v>0</v>
      </c>
      <c r="AF40" s="53">
        <f t="shared" si="19"/>
        <v>0</v>
      </c>
      <c r="AG40" s="53">
        <f t="shared" si="19"/>
        <v>0</v>
      </c>
      <c r="AH40" s="53">
        <f t="shared" si="19"/>
        <v>0</v>
      </c>
      <c r="AI40" s="53">
        <f t="shared" si="19"/>
        <v>0</v>
      </c>
      <c r="AJ40" s="53">
        <f t="shared" si="20"/>
        <v>0</v>
      </c>
      <c r="AK40" s="53">
        <f t="shared" si="20"/>
        <v>0</v>
      </c>
      <c r="AL40" s="53">
        <f t="shared" si="20"/>
        <v>0</v>
      </c>
      <c r="AM40" s="53">
        <f t="shared" si="20"/>
        <v>0</v>
      </c>
      <c r="AN40" s="53">
        <f t="shared" si="20"/>
        <v>0</v>
      </c>
      <c r="AO40" s="53">
        <f t="shared" si="20"/>
        <v>0</v>
      </c>
      <c r="AP40" s="53">
        <f t="shared" si="20"/>
        <v>0</v>
      </c>
      <c r="AQ40" s="53">
        <f t="shared" si="20"/>
        <v>0</v>
      </c>
      <c r="AR40" s="53">
        <f t="shared" si="20"/>
        <v>0</v>
      </c>
      <c r="AS40" s="53">
        <f t="shared" si="20"/>
        <v>0</v>
      </c>
      <c r="AT40" s="53">
        <f t="shared" si="21"/>
        <v>0</v>
      </c>
      <c r="AU40" s="53">
        <f t="shared" si="21"/>
        <v>0</v>
      </c>
      <c r="AV40" s="53">
        <f t="shared" si="21"/>
        <v>0</v>
      </c>
      <c r="AW40" s="53">
        <f t="shared" si="21"/>
        <v>0</v>
      </c>
      <c r="AX40" s="53">
        <f t="shared" si="21"/>
        <v>0</v>
      </c>
      <c r="AY40" s="53">
        <f t="shared" si="21"/>
        <v>0</v>
      </c>
      <c r="AZ40" s="53">
        <f t="shared" si="21"/>
        <v>0</v>
      </c>
      <c r="BA40" s="53">
        <f t="shared" si="21"/>
        <v>0</v>
      </c>
      <c r="BB40" s="53">
        <f t="shared" si="21"/>
        <v>0</v>
      </c>
      <c r="BC40" s="53">
        <f t="shared" si="21"/>
        <v>0</v>
      </c>
      <c r="BD40" s="53">
        <f t="shared" si="22"/>
        <v>0</v>
      </c>
      <c r="BE40" s="53">
        <f t="shared" si="22"/>
        <v>0</v>
      </c>
      <c r="BF40" s="53">
        <f t="shared" si="22"/>
        <v>0</v>
      </c>
      <c r="BG40" s="53">
        <f t="shared" si="22"/>
        <v>0</v>
      </c>
      <c r="BH40" s="53">
        <f t="shared" si="22"/>
        <v>0</v>
      </c>
      <c r="BI40" s="53">
        <f t="shared" si="22"/>
        <v>0</v>
      </c>
      <c r="BJ40" s="53">
        <f t="shared" si="22"/>
        <v>0</v>
      </c>
      <c r="BK40" s="53">
        <f t="shared" si="22"/>
        <v>0</v>
      </c>
    </row>
    <row r="41" spans="1:63" x14ac:dyDescent="0.25">
      <c r="A41" s="45"/>
      <c r="B41" s="46" t="s">
        <v>93</v>
      </c>
      <c r="C41" s="48">
        <v>0.12</v>
      </c>
      <c r="D41" s="47">
        <v>46213</v>
      </c>
      <c r="E41" s="47">
        <v>46219</v>
      </c>
      <c r="F41" s="7">
        <f>C41</f>
        <v>0.12</v>
      </c>
      <c r="G41" s="48">
        <f>SUM(P41:AZ41)</f>
        <v>0.12</v>
      </c>
      <c r="H41" s="49">
        <f>NETWORKDAYS(D41,E41,Hari_Libur)</f>
        <v>5</v>
      </c>
      <c r="I41" s="50">
        <f>IF($C$8&gt;=E41,1,IF($C$8&lt;D41,0,IF(NETWORKDAYS(D41,E41,Hari_Libur)=0,0,NETWORKDAYS(D41,$C$8,Hari_Libur)/NETWORKDAYS(D41,E41,Hari_Libur))))</f>
        <v>0</v>
      </c>
      <c r="J41" s="50">
        <f>I41*F41</f>
        <v>0</v>
      </c>
      <c r="K41" s="50">
        <v>0</v>
      </c>
      <c r="L41" s="50">
        <f>C41*K41</f>
        <v>0</v>
      </c>
      <c r="M41" s="50">
        <f>L41-J41</f>
        <v>0</v>
      </c>
      <c r="N41" s="51">
        <f>C41</f>
        <v>0.12</v>
      </c>
      <c r="O41" s="52">
        <f>SUM(P41:BK41)</f>
        <v>0.12</v>
      </c>
      <c r="P41" s="53">
        <f t="shared" si="18"/>
        <v>0</v>
      </c>
      <c r="Q41" s="53">
        <f t="shared" si="18"/>
        <v>0</v>
      </c>
      <c r="R41" s="53">
        <f t="shared" si="18"/>
        <v>0</v>
      </c>
      <c r="S41" s="53">
        <f t="shared" si="18"/>
        <v>0</v>
      </c>
      <c r="T41" s="53">
        <f t="shared" si="18"/>
        <v>0</v>
      </c>
      <c r="U41" s="53">
        <f t="shared" si="18"/>
        <v>0</v>
      </c>
      <c r="V41" s="53">
        <f t="shared" si="18"/>
        <v>0</v>
      </c>
      <c r="W41" s="53">
        <f t="shared" si="18"/>
        <v>0</v>
      </c>
      <c r="X41" s="53">
        <f t="shared" si="18"/>
        <v>0</v>
      </c>
      <c r="Y41" s="53">
        <f t="shared" si="18"/>
        <v>0.12</v>
      </c>
      <c r="Z41" s="53">
        <f t="shared" si="19"/>
        <v>0</v>
      </c>
      <c r="AA41" s="53">
        <f t="shared" si="19"/>
        <v>0</v>
      </c>
      <c r="AB41" s="53">
        <f t="shared" si="19"/>
        <v>0</v>
      </c>
      <c r="AC41" s="53">
        <f t="shared" si="19"/>
        <v>0</v>
      </c>
      <c r="AD41" s="53">
        <f t="shared" si="19"/>
        <v>0</v>
      </c>
      <c r="AE41" s="53">
        <f t="shared" si="19"/>
        <v>0</v>
      </c>
      <c r="AF41" s="53">
        <f t="shared" si="19"/>
        <v>0</v>
      </c>
      <c r="AG41" s="53">
        <f t="shared" si="19"/>
        <v>0</v>
      </c>
      <c r="AH41" s="53">
        <f t="shared" si="19"/>
        <v>0</v>
      </c>
      <c r="AI41" s="53">
        <f t="shared" si="19"/>
        <v>0</v>
      </c>
      <c r="AJ41" s="53">
        <f t="shared" si="20"/>
        <v>0</v>
      </c>
      <c r="AK41" s="53">
        <f t="shared" si="20"/>
        <v>0</v>
      </c>
      <c r="AL41" s="53">
        <f t="shared" si="20"/>
        <v>0</v>
      </c>
      <c r="AM41" s="53">
        <f t="shared" si="20"/>
        <v>0</v>
      </c>
      <c r="AN41" s="53">
        <f t="shared" si="20"/>
        <v>0</v>
      </c>
      <c r="AO41" s="53">
        <f t="shared" si="20"/>
        <v>0</v>
      </c>
      <c r="AP41" s="53">
        <f t="shared" si="20"/>
        <v>0</v>
      </c>
      <c r="AQ41" s="53">
        <f t="shared" si="20"/>
        <v>0</v>
      </c>
      <c r="AR41" s="53">
        <f t="shared" si="20"/>
        <v>0</v>
      </c>
      <c r="AS41" s="53">
        <f t="shared" si="20"/>
        <v>0</v>
      </c>
      <c r="AT41" s="53">
        <f t="shared" si="21"/>
        <v>0</v>
      </c>
      <c r="AU41" s="53">
        <f t="shared" si="21"/>
        <v>0</v>
      </c>
      <c r="AV41" s="53">
        <f t="shared" si="21"/>
        <v>0</v>
      </c>
      <c r="AW41" s="53">
        <f t="shared" si="21"/>
        <v>0</v>
      </c>
      <c r="AX41" s="53">
        <f t="shared" si="21"/>
        <v>0</v>
      </c>
      <c r="AY41" s="53">
        <f t="shared" si="21"/>
        <v>0</v>
      </c>
      <c r="AZ41" s="53">
        <f t="shared" si="21"/>
        <v>0</v>
      </c>
      <c r="BA41" s="53">
        <f t="shared" si="21"/>
        <v>0</v>
      </c>
      <c r="BB41" s="53">
        <f t="shared" si="21"/>
        <v>0</v>
      </c>
      <c r="BC41" s="53">
        <f t="shared" si="21"/>
        <v>0</v>
      </c>
      <c r="BD41" s="53">
        <f t="shared" si="22"/>
        <v>0</v>
      </c>
      <c r="BE41" s="53">
        <f t="shared" si="22"/>
        <v>0</v>
      </c>
      <c r="BF41" s="53">
        <f t="shared" si="22"/>
        <v>0</v>
      </c>
      <c r="BG41" s="53">
        <f t="shared" si="22"/>
        <v>0</v>
      </c>
      <c r="BH41" s="53">
        <f t="shared" si="22"/>
        <v>0</v>
      </c>
      <c r="BI41" s="53">
        <f t="shared" si="22"/>
        <v>0</v>
      </c>
      <c r="BJ41" s="53">
        <f t="shared" si="22"/>
        <v>0</v>
      </c>
      <c r="BK41" s="53">
        <f t="shared" si="22"/>
        <v>0</v>
      </c>
    </row>
    <row r="42" spans="1:63" x14ac:dyDescent="0.25">
      <c r="A42" s="45"/>
      <c r="B42" s="46"/>
      <c r="C42" s="48"/>
      <c r="D42" s="47"/>
      <c r="E42" s="47"/>
      <c r="F42" s="48"/>
      <c r="G42" s="48"/>
      <c r="H42" s="49"/>
      <c r="I42" s="48"/>
      <c r="J42" s="48"/>
      <c r="K42" s="48"/>
      <c r="L42" s="48"/>
      <c r="M42" s="48"/>
      <c r="N42" s="51"/>
      <c r="O42" s="52"/>
      <c r="P42" s="53">
        <f>IF(AND($D42&lt;=P$17,$E42&gt;=P$16),$C42*NETWORKDAYS(MAX($D42,P$16),MIN($E42,P$17),Libur!$A$2:$A$38)/NETWORKDAYS($D42,$E42,Libur!$A$2:$A$38),0)</f>
        <v>0</v>
      </c>
      <c r="Q42" s="53">
        <f>IF(AND($D42&lt;=Q$17,$E42&gt;=Q$16),$C42*NETWORKDAYS(MAX($D42,Q$16),MIN($E42,Q$17),Libur!$A$2:$A$38)/NETWORKDAYS($D42,$E42,Libur!$A$2:$A$38),0)</f>
        <v>0</v>
      </c>
      <c r="R42" s="53">
        <f>IF(AND($D42&lt;=R$17,$E42&gt;=R$16),$C42*NETWORKDAYS(MAX($D42,R$16),MIN($E42,R$17),Libur!$A$2:$A$38)/NETWORKDAYS($D42,$E42,Libur!$A$2:$A$38),0)</f>
        <v>0</v>
      </c>
      <c r="S42" s="53">
        <f>IF(AND($D42&lt;=S$17,$E42&gt;=S$16),$C42*NETWORKDAYS(MAX($D42,S$16),MIN($E42,S$17),Libur!$A$2:$A$38)/NETWORKDAYS($D42,$E42,Libur!$A$2:$A$38),0)</f>
        <v>0</v>
      </c>
      <c r="T42" s="53">
        <f>IF(AND($D42&lt;=T$17,$E42&gt;=T$16),$C42*NETWORKDAYS(MAX($D42,T$16),MIN($E42,T$17),Libur!$A$2:$A$38)/NETWORKDAYS($D42,$E42,Libur!$A$2:$A$38),0)</f>
        <v>0</v>
      </c>
      <c r="U42" s="53">
        <f>IF(AND($D42&lt;=U$17,$E42&gt;=U$16),$C42*NETWORKDAYS(MAX($D42,U$16),MIN($E42,U$17),Libur!$A$2:$A$38)/NETWORKDAYS($D42,$E42,Libur!$A$2:$A$38),0)</f>
        <v>0</v>
      </c>
      <c r="V42" s="53">
        <f>IF(AND($D42&lt;=V$17,$E42&gt;=V$16),$C42*NETWORKDAYS(MAX($D42,V$16),MIN($E42,V$17),Libur!$A$2:$A$38)/NETWORKDAYS($D42,$E42,Libur!$A$2:$A$38),0)</f>
        <v>0</v>
      </c>
      <c r="W42" s="53">
        <f>IF(AND($D42&lt;=W$17,$E42&gt;=W$16),$C42*NETWORKDAYS(MAX($D42,W$16),MIN($E42,W$17),Libur!$A$2:$A$38)/NETWORKDAYS($D42,$E42,Libur!$A$2:$A$38),0)</f>
        <v>0</v>
      </c>
      <c r="X42" s="53">
        <f>IF(AND($D42&lt;=X$17,$E42&gt;=X$16),$C42*NETWORKDAYS(MAX($D42,X$16),MIN($E42,X$17),Libur!$A$2:$A$38)/NETWORKDAYS($D42,$E42,Libur!$A$2:$A$38),0)</f>
        <v>0</v>
      </c>
      <c r="Y42" s="53">
        <f>IF(AND($D42&lt;=Y$17,$E42&gt;=Y$16),$C42*NETWORKDAYS(MAX($D42,Y$16),MIN($E42,Y$17),Libur!$A$2:$A$38)/NETWORKDAYS($D42,$E42,Libur!$A$2:$A$38),0)</f>
        <v>0</v>
      </c>
      <c r="Z42" s="53">
        <f>IF(AND($D42&lt;=Z$17,$E42&gt;=Z$16),$C42*NETWORKDAYS(MAX($D42,Z$16),MIN($E42,Z$17),Libur!$A$2:$A$38)/NETWORKDAYS($D42,$E42,Libur!$A$2:$A$38),0)</f>
        <v>0</v>
      </c>
      <c r="AA42" s="53">
        <f>IF(AND($D42&lt;=AA$17,$E42&gt;=AA$16),$C42*NETWORKDAYS(MAX($D42,AA$16),MIN($E42,AA$17),Libur!$A$2:$A$38)/NETWORKDAYS($D42,$E42,Libur!$A$2:$A$38),0)</f>
        <v>0</v>
      </c>
      <c r="AB42" s="53">
        <f>IF(AND($D42&lt;=AB$17,$E42&gt;=AB$16),$C42*NETWORKDAYS(MAX($D42,AB$16),MIN($E42,AB$17),Libur!$A$2:$A$38)/NETWORKDAYS($D42,$E42,Libur!$A$2:$A$38),0)</f>
        <v>0</v>
      </c>
      <c r="AC42" s="53">
        <f>IF(AND($D42&lt;=AC$17,$E42&gt;=AC$16),$C42*NETWORKDAYS(MAX($D42,AC$16),MIN($E42,AC$17),Libur!$A$2:$A$38)/NETWORKDAYS($D42,$E42,Libur!$A$2:$A$38),0)</f>
        <v>0</v>
      </c>
      <c r="AD42" s="53">
        <f>IF(AND($D42&lt;=AD$17,$E42&gt;=AD$16),$C42*NETWORKDAYS(MAX($D42,AD$16),MIN($E42,AD$17),Libur!$A$2:$A$38)/NETWORKDAYS($D42,$E42,Libur!$A$2:$A$38),0)</f>
        <v>0</v>
      </c>
      <c r="AE42" s="53">
        <f>IF(AND($D42&lt;=AE$17,$E42&gt;=AE$16),$C42*NETWORKDAYS(MAX($D42,AE$16),MIN($E42,AE$17),Libur!$A$2:$A$38)/NETWORKDAYS($D42,$E42,Libur!$A$2:$A$38),0)</f>
        <v>0</v>
      </c>
      <c r="AF42" s="53">
        <f>IF(AND($D42&lt;=AF$17,$E42&gt;=AF$16),$C42*NETWORKDAYS(MAX($D42,AF$16),MIN($E42,AF$17),Libur!$A$2:$A$38)/NETWORKDAYS($D42,$E42,Libur!$A$2:$A$38),0)</f>
        <v>0</v>
      </c>
      <c r="AG42" s="53">
        <f>IF(AND($D42&lt;=AG$17,$E42&gt;=AG$16),$C42*NETWORKDAYS(MAX($D42,AG$16),MIN($E42,AG$17),Libur!$A$2:$A$38)/NETWORKDAYS($D42,$E42,Libur!$A$2:$A$38),0)</f>
        <v>0</v>
      </c>
      <c r="AH42" s="53">
        <f>IF(AND($D42&lt;=AH$17,$E42&gt;=AH$16),$C42*NETWORKDAYS(MAX($D42,AH$16),MIN($E42,AH$17),Libur!$A$2:$A$38)/NETWORKDAYS($D42,$E42,Libur!$A$2:$A$38),0)</f>
        <v>0</v>
      </c>
      <c r="AI42" s="53">
        <f>IF(AND($D42&lt;=AI$17,$E42&gt;=AI$16),$C42*NETWORKDAYS(MAX($D42,AI$16),MIN($E42,AI$17),Libur!$A$2:$A$38)/NETWORKDAYS($D42,$E42,Libur!$A$2:$A$38),0)</f>
        <v>0</v>
      </c>
      <c r="AJ42" s="53">
        <f>IF(AND($D42&lt;=AJ$17,$E42&gt;=AJ$16),$C42*NETWORKDAYS(MAX($D42,AJ$16),MIN($E42,AJ$17),Libur!$A$2:$A$38)/NETWORKDAYS($D42,$E42,Libur!$A$2:$A$38),0)</f>
        <v>0</v>
      </c>
      <c r="AK42" s="53">
        <f>IF(AND($D42&lt;=AK$17,$E42&gt;=AK$16),$C42*NETWORKDAYS(MAX($D42,AK$16),MIN($E42,AK$17),Libur!$A$2:$A$38)/NETWORKDAYS($D42,$E42,Libur!$A$2:$A$38),0)</f>
        <v>0</v>
      </c>
      <c r="AL42" s="53">
        <f>IF(AND($D42&lt;=AL$17,$E42&gt;=AL$16),$C42*NETWORKDAYS(MAX($D42,AL$16),MIN($E42,AL$17),Libur!$A$2:$A$38)/NETWORKDAYS($D42,$E42,Libur!$A$2:$A$38),0)</f>
        <v>0</v>
      </c>
      <c r="AM42" s="53">
        <f>IF(AND($D42&lt;=AM$17,$E42&gt;=AM$16),$C42*NETWORKDAYS(MAX($D42,AM$16),MIN($E42,AM$17),Libur!$A$2:$A$38)/NETWORKDAYS($D42,$E42,Libur!$A$2:$A$38),0)</f>
        <v>0</v>
      </c>
      <c r="AN42" s="53">
        <f>IF(AND($D42&lt;=AN$17,$E42&gt;=AN$16),$C42*NETWORKDAYS(MAX($D42,AN$16),MIN($E42,AN$17),Libur!$A$2:$A$38)/NETWORKDAYS($D42,$E42,Libur!$A$2:$A$38),0)</f>
        <v>0</v>
      </c>
      <c r="AO42" s="53">
        <f>IF(AND($D42&lt;=AO$17,$E42&gt;=AO$16),$C42*NETWORKDAYS(MAX($D42,AO$16),MIN($E42,AO$17),Libur!$A$2:$A$38)/NETWORKDAYS($D42,$E42,Libur!$A$2:$A$38),0)</f>
        <v>0</v>
      </c>
      <c r="AP42" s="53">
        <f>IF(AND($D42&lt;=AP$17,$E42&gt;=AP$16),$C42*NETWORKDAYS(MAX($D42,AP$16),MIN($E42,AP$17),Libur!$A$2:$A$38)/NETWORKDAYS($D42,$E42,Libur!$A$2:$A$38),0)</f>
        <v>0</v>
      </c>
      <c r="AQ42" s="53">
        <f>IF(AND($D42&lt;=AQ$17,$E42&gt;=AQ$16),$C42*NETWORKDAYS(MAX($D42,AQ$16),MIN($E42,AQ$17),Libur!$A$2:$A$38)/NETWORKDAYS($D42,$E42,Libur!$A$2:$A$38),0)</f>
        <v>0</v>
      </c>
      <c r="AR42" s="53">
        <f>IF(AND($D42&lt;=AR$17,$E42&gt;=AR$16),$C42*NETWORKDAYS(MAX($D42,AR$16),MIN($E42,AR$17),Libur!$A$2:$A$38)/NETWORKDAYS($D42,$E42,Libur!$A$2:$A$38),0)</f>
        <v>0</v>
      </c>
      <c r="AS42" s="53">
        <f>IF(AND($D42&lt;=AS$17,$E42&gt;=AS$16),$C42*NETWORKDAYS(MAX($D42,AS$16),MIN($E42,AS$17),Libur!$A$2:$A$38)/NETWORKDAYS($D42,$E42,Libur!$A$2:$A$38),0)</f>
        <v>0</v>
      </c>
      <c r="AT42" s="53">
        <f>IF(AND($D42&lt;=AT$17,$E42&gt;=AT$16),$C42*NETWORKDAYS(MAX($D42,AT$16),MIN($E42,AT$17),Libur!$A$2:$A$38)/NETWORKDAYS($D42,$E42,Libur!$A$2:$A$38),0)</f>
        <v>0</v>
      </c>
      <c r="AU42" s="53">
        <f>IF(AND($D42&lt;=AU$17,$E42&gt;=AU$16),$C42*NETWORKDAYS(MAX($D42,AU$16),MIN($E42,AU$17),Libur!$A$2:$A$38)/NETWORKDAYS($D42,$E42,Libur!$A$2:$A$38),0)</f>
        <v>0</v>
      </c>
      <c r="AV42" s="53">
        <f>IF(AND($D42&lt;=AV$17,$E42&gt;=AV$16),$C42*NETWORKDAYS(MAX($D42,AV$16),MIN($E42,AV$17),Libur!$A$2:$A$38)/NETWORKDAYS($D42,$E42,Libur!$A$2:$A$38),0)</f>
        <v>0</v>
      </c>
      <c r="AW42" s="53">
        <f>IF(AND($D42&lt;=AW$17,$E42&gt;=AW$16),$C42*NETWORKDAYS(MAX($D42,AW$16),MIN($E42,AW$17),Libur!$A$2:$A$38)/NETWORKDAYS($D42,$E42,Libur!$A$2:$A$38),0)</f>
        <v>0</v>
      </c>
      <c r="AX42" s="53">
        <f>IF(AND($D42&lt;=AX$17,$E42&gt;=AX$16),$C42*NETWORKDAYS(MAX($D42,AX$16),MIN($E42,AX$17),Libur!$A$2:$A$38)/NETWORKDAYS($D42,$E42,Libur!$A$2:$A$38),0)</f>
        <v>0</v>
      </c>
      <c r="AY42" s="53">
        <f>IF(AND($D42&lt;=AY$17,$E42&gt;=AY$16),$C42*NETWORKDAYS(MAX($D42,AY$16),MIN($E42,AY$17),Libur!$A$2:$A$38)/NETWORKDAYS($D42,$E42,Libur!$A$2:$A$38),0)</f>
        <v>0</v>
      </c>
      <c r="AZ42" s="53">
        <f>IF(AND($D42&lt;=AZ$17,$E42&gt;=AZ$16),$C42*NETWORKDAYS(MAX($D42,AZ$16),MIN($E42,AZ$17),Libur!$A$2:$A$38)/NETWORKDAYS($D42,$E42,Libur!$A$2:$A$38),0)</f>
        <v>0</v>
      </c>
      <c r="BA42" s="53">
        <f>IF(AND($D42&lt;=BA$17,$E42&gt;=BA$16),$C42*NETWORKDAYS(MAX($D42,BA$16),MIN($E42,BA$17),Libur!$A$2:$A$38)/NETWORKDAYS($D42,$E42,Libur!$A$2:$A$38),0)</f>
        <v>0</v>
      </c>
      <c r="BB42" s="53">
        <f>IF(AND($D42&lt;=BB$17,$E42&gt;=BB$16),$C42*NETWORKDAYS(MAX($D42,BB$16),MIN($E42,BB$17),Libur!$A$2:$A$38)/NETWORKDAYS($D42,$E42,Libur!$A$2:$A$38),0)</f>
        <v>0</v>
      </c>
      <c r="BC42" s="53">
        <f>IF(AND($D42&lt;=BC$17,$E42&gt;=BC$16),$C42*NETWORKDAYS(MAX($D42,BC$16),MIN($E42,BC$17),Libur!$A$2:$A$38)/NETWORKDAYS($D42,$E42,Libur!$A$2:$A$38),0)</f>
        <v>0</v>
      </c>
      <c r="BD42" s="53">
        <f>IF(AND($D42&lt;=BD$17,$E42&gt;=BD$16),$C42*NETWORKDAYS(MAX($D42,BD$16),MIN($E42,BD$17),Libur!$A$2:$A$38)/NETWORKDAYS($D42,$E42,Libur!$A$2:$A$38),0)</f>
        <v>0</v>
      </c>
      <c r="BE42" s="53">
        <f>IF(AND($D42&lt;=BE$17,$E42&gt;=BE$16),$C42*NETWORKDAYS(MAX($D42,BE$16),MIN($E42,BE$17),Libur!$A$2:$A$38)/NETWORKDAYS($D42,$E42,Libur!$A$2:$A$38),0)</f>
        <v>0</v>
      </c>
      <c r="BF42" s="53">
        <f>IF(AND($D42&lt;=BF$17,$E42&gt;=BF$16),$C42*NETWORKDAYS(MAX($D42,BF$16),MIN($E42,BF$17),Libur!$A$2:$A$38)/NETWORKDAYS($D42,$E42,Libur!$A$2:$A$38),0)</f>
        <v>0</v>
      </c>
      <c r="BG42" s="53">
        <f>IF(AND($D42&lt;=BG$17,$E42&gt;=BG$16),$C42*NETWORKDAYS(MAX($D42,BG$16),MIN($E42,BG$17),Libur!$A$2:$A$38)/NETWORKDAYS($D42,$E42,Libur!$A$2:$A$38),0)</f>
        <v>0</v>
      </c>
      <c r="BH42" s="53">
        <f>IF(AND($D42&lt;=BH$17,$E42&gt;=BH$16),$C42*NETWORKDAYS(MAX($D42,BH$16),MIN($E42,BH$17),Libur!$A$2:$A$38)/NETWORKDAYS($D42,$E42,Libur!$A$2:$A$38),0)</f>
        <v>0</v>
      </c>
      <c r="BI42" s="53">
        <f>IF(AND($D42&lt;=BI$17,$E42&gt;=BI$16),$C42*NETWORKDAYS(MAX($D42,BI$16),MIN($E42,BI$17),Libur!$A$2:$A$38)/NETWORKDAYS($D42,$E42,Libur!$A$2:$A$38),0)</f>
        <v>0</v>
      </c>
      <c r="BJ42" s="53">
        <f>IF(AND($D42&lt;=BJ$17,$E42&gt;=BJ$16),$C42*NETWORKDAYS(MAX($D42,BJ$16),MIN($E42,BJ$17),Libur!$A$2:$A$38)/NETWORKDAYS($D42,$E42,Libur!$A$2:$A$38),0)</f>
        <v>0</v>
      </c>
      <c r="BK42" s="53">
        <f>IF(AND($D42&lt;=BK$17,$E42&gt;=BK$16),$C42*NETWORKDAYS(MAX($D42,BK$16),MIN($E42,BK$17),Libur!$A$2:$A$38)/NETWORKDAYS($D42,$E42,Libur!$A$2:$A$38),0)</f>
        <v>0</v>
      </c>
    </row>
    <row r="43" spans="1:63" s="9" customFormat="1" x14ac:dyDescent="0.25">
      <c r="A43" s="36" t="s">
        <v>94</v>
      </c>
      <c r="B43" s="9" t="s">
        <v>95</v>
      </c>
      <c r="C43" s="37">
        <f>SUM(C44:C49)</f>
        <v>0.1</v>
      </c>
      <c r="D43" s="56">
        <f>MIN(D44:D49)</f>
        <v>46220</v>
      </c>
      <c r="E43" s="56">
        <f>MAX(E44:E49)</f>
        <v>46245</v>
      </c>
      <c r="F43" s="48"/>
      <c r="G43" s="48"/>
      <c r="H43" s="40">
        <f t="shared" ref="H43:H49" si="23">NETWORKDAYS(D43,E43,Hari_Libur)</f>
        <v>18</v>
      </c>
      <c r="I43" s="41">
        <f>IF(C43=0,0,J43/C43)</f>
        <v>0</v>
      </c>
      <c r="J43" s="41">
        <f>SUM(J44:J49)</f>
        <v>0</v>
      </c>
      <c r="K43" s="41">
        <f>IF(C43=0,0,L43/C43)</f>
        <v>0</v>
      </c>
      <c r="L43" s="41">
        <f>SUM(L44:L49)</f>
        <v>0</v>
      </c>
      <c r="M43" s="41">
        <f>SUM(M44:M49)</f>
        <v>0</v>
      </c>
      <c r="N43" s="51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</row>
    <row r="44" spans="1:63" x14ac:dyDescent="0.25">
      <c r="A44" s="45"/>
      <c r="B44" s="46" t="s">
        <v>96</v>
      </c>
      <c r="C44" s="48">
        <v>0.02</v>
      </c>
      <c r="D44" s="47">
        <v>46220</v>
      </c>
      <c r="E44" s="47">
        <v>46225</v>
      </c>
      <c r="F44" s="7">
        <f t="shared" ref="F44:F49" si="24">C44</f>
        <v>0.02</v>
      </c>
      <c r="G44" s="48">
        <f t="shared" ref="G44:G49" si="25">SUM(P44:AZ44)</f>
        <v>0.02</v>
      </c>
      <c r="H44" s="49">
        <f t="shared" si="23"/>
        <v>4</v>
      </c>
      <c r="I44" s="50">
        <f t="shared" ref="I44:I49" si="26">IF($C$8&gt;=E44,1,IF($C$8&lt;D44,0,IF(NETWORKDAYS(D44,E44,Hari_Libur)=0,0,NETWORKDAYS(D44,$C$8,Hari_Libur)/NETWORKDAYS(D44,E44,Hari_Libur))))</f>
        <v>0</v>
      </c>
      <c r="J44" s="50">
        <f t="shared" ref="J44:J49" si="27">I44*F44</f>
        <v>0</v>
      </c>
      <c r="K44" s="50">
        <v>0</v>
      </c>
      <c r="L44" s="50">
        <f t="shared" ref="L44:L49" si="28">C44*K44</f>
        <v>0</v>
      </c>
      <c r="M44" s="50">
        <f t="shared" ref="M44:M49" si="29">L44-J44</f>
        <v>0</v>
      </c>
      <c r="N44" s="51">
        <f t="shared" ref="N44:N49" si="30">C44</f>
        <v>0.02</v>
      </c>
      <c r="O44" s="52">
        <f t="shared" ref="O44:O49" si="31">SUM(P44:BK44)</f>
        <v>0.02</v>
      </c>
      <c r="P44" s="53">
        <f t="shared" ref="P44:Y49" si="32">IF(AND($D44&lt;=P$17,$E44&gt;=P$16),$C44*NETWORKDAYS(MAX($D44,P$16),MIN($E44,P$17),Hari_Libur)/NETWORKDAYS($D44,$E44,Hari_Libur),0)</f>
        <v>0</v>
      </c>
      <c r="Q44" s="53">
        <f t="shared" si="32"/>
        <v>0</v>
      </c>
      <c r="R44" s="53">
        <f t="shared" si="32"/>
        <v>0</v>
      </c>
      <c r="S44" s="53">
        <f t="shared" si="32"/>
        <v>0</v>
      </c>
      <c r="T44" s="53">
        <f t="shared" si="32"/>
        <v>0</v>
      </c>
      <c r="U44" s="53">
        <f t="shared" si="32"/>
        <v>0</v>
      </c>
      <c r="V44" s="53">
        <f t="shared" si="32"/>
        <v>0</v>
      </c>
      <c r="W44" s="53">
        <f t="shared" si="32"/>
        <v>0</v>
      </c>
      <c r="X44" s="53">
        <f t="shared" si="32"/>
        <v>0</v>
      </c>
      <c r="Y44" s="53">
        <f t="shared" si="32"/>
        <v>0</v>
      </c>
      <c r="Z44" s="53">
        <f t="shared" ref="Z44:AI49" si="33">IF(AND($D44&lt;=Z$17,$E44&gt;=Z$16),$C44*NETWORKDAYS(MAX($D44,Z$16),MIN($E44,Z$17),Hari_Libur)/NETWORKDAYS($D44,$E44,Hari_Libur),0)</f>
        <v>0.02</v>
      </c>
      <c r="AA44" s="53">
        <f t="shared" si="33"/>
        <v>0</v>
      </c>
      <c r="AB44" s="53">
        <f t="shared" si="33"/>
        <v>0</v>
      </c>
      <c r="AC44" s="53">
        <f t="shared" si="33"/>
        <v>0</v>
      </c>
      <c r="AD44" s="53">
        <f t="shared" si="33"/>
        <v>0</v>
      </c>
      <c r="AE44" s="53">
        <f t="shared" si="33"/>
        <v>0</v>
      </c>
      <c r="AF44" s="53">
        <f t="shared" si="33"/>
        <v>0</v>
      </c>
      <c r="AG44" s="53">
        <f t="shared" si="33"/>
        <v>0</v>
      </c>
      <c r="AH44" s="53">
        <f t="shared" si="33"/>
        <v>0</v>
      </c>
      <c r="AI44" s="53">
        <f t="shared" si="33"/>
        <v>0</v>
      </c>
      <c r="AJ44" s="53">
        <f t="shared" ref="AJ44:AS49" si="34">IF(AND($D44&lt;=AJ$17,$E44&gt;=AJ$16),$C44*NETWORKDAYS(MAX($D44,AJ$16),MIN($E44,AJ$17),Hari_Libur)/NETWORKDAYS($D44,$E44,Hari_Libur),0)</f>
        <v>0</v>
      </c>
      <c r="AK44" s="53">
        <f t="shared" si="34"/>
        <v>0</v>
      </c>
      <c r="AL44" s="53">
        <f t="shared" si="34"/>
        <v>0</v>
      </c>
      <c r="AM44" s="53">
        <f t="shared" si="34"/>
        <v>0</v>
      </c>
      <c r="AN44" s="53">
        <f t="shared" si="34"/>
        <v>0</v>
      </c>
      <c r="AO44" s="53">
        <f t="shared" si="34"/>
        <v>0</v>
      </c>
      <c r="AP44" s="53">
        <f t="shared" si="34"/>
        <v>0</v>
      </c>
      <c r="AQ44" s="53">
        <f t="shared" si="34"/>
        <v>0</v>
      </c>
      <c r="AR44" s="53">
        <f t="shared" si="34"/>
        <v>0</v>
      </c>
      <c r="AS44" s="53">
        <f t="shared" si="34"/>
        <v>0</v>
      </c>
      <c r="AT44" s="53">
        <f t="shared" ref="AT44:BC49" si="35">IF(AND($D44&lt;=AT$17,$E44&gt;=AT$16),$C44*NETWORKDAYS(MAX($D44,AT$16),MIN($E44,AT$17),Hari_Libur)/NETWORKDAYS($D44,$E44,Hari_Libur),0)</f>
        <v>0</v>
      </c>
      <c r="AU44" s="53">
        <f t="shared" si="35"/>
        <v>0</v>
      </c>
      <c r="AV44" s="53">
        <f t="shared" si="35"/>
        <v>0</v>
      </c>
      <c r="AW44" s="53">
        <f t="shared" si="35"/>
        <v>0</v>
      </c>
      <c r="AX44" s="53">
        <f t="shared" si="35"/>
        <v>0</v>
      </c>
      <c r="AY44" s="53">
        <f t="shared" si="35"/>
        <v>0</v>
      </c>
      <c r="AZ44" s="53">
        <f t="shared" si="35"/>
        <v>0</v>
      </c>
      <c r="BA44" s="53">
        <f t="shared" si="35"/>
        <v>0</v>
      </c>
      <c r="BB44" s="53">
        <f t="shared" si="35"/>
        <v>0</v>
      </c>
      <c r="BC44" s="53">
        <f t="shared" si="35"/>
        <v>0</v>
      </c>
      <c r="BD44" s="53">
        <f t="shared" ref="BD44:BK49" si="36">IF(AND($D44&lt;=BD$17,$E44&gt;=BD$16),$C44*NETWORKDAYS(MAX($D44,BD$16),MIN($E44,BD$17),Hari_Libur)/NETWORKDAYS($D44,$E44,Hari_Libur),0)</f>
        <v>0</v>
      </c>
      <c r="BE44" s="53">
        <f t="shared" si="36"/>
        <v>0</v>
      </c>
      <c r="BF44" s="53">
        <f t="shared" si="36"/>
        <v>0</v>
      </c>
      <c r="BG44" s="53">
        <f t="shared" si="36"/>
        <v>0</v>
      </c>
      <c r="BH44" s="53">
        <f t="shared" si="36"/>
        <v>0</v>
      </c>
      <c r="BI44" s="53">
        <f t="shared" si="36"/>
        <v>0</v>
      </c>
      <c r="BJ44" s="53">
        <f t="shared" si="36"/>
        <v>0</v>
      </c>
      <c r="BK44" s="53">
        <f t="shared" si="36"/>
        <v>0</v>
      </c>
    </row>
    <row r="45" spans="1:63" x14ac:dyDescent="0.25">
      <c r="A45" s="45"/>
      <c r="B45" s="46" t="s">
        <v>97</v>
      </c>
      <c r="C45" s="48">
        <v>0.01</v>
      </c>
      <c r="D45" s="47">
        <v>46226</v>
      </c>
      <c r="E45" s="47">
        <v>46231</v>
      </c>
      <c r="F45" s="7">
        <f t="shared" si="24"/>
        <v>0.01</v>
      </c>
      <c r="G45" s="48">
        <f t="shared" si="25"/>
        <v>0.01</v>
      </c>
      <c r="H45" s="49">
        <f t="shared" si="23"/>
        <v>4</v>
      </c>
      <c r="I45" s="50">
        <f t="shared" si="26"/>
        <v>0</v>
      </c>
      <c r="J45" s="50">
        <f t="shared" si="27"/>
        <v>0</v>
      </c>
      <c r="K45" s="50">
        <v>0</v>
      </c>
      <c r="L45" s="50">
        <f t="shared" si="28"/>
        <v>0</v>
      </c>
      <c r="M45" s="50">
        <f t="shared" si="29"/>
        <v>0</v>
      </c>
      <c r="N45" s="51">
        <f t="shared" si="30"/>
        <v>0.01</v>
      </c>
      <c r="O45" s="52">
        <f t="shared" si="31"/>
        <v>0.01</v>
      </c>
      <c r="P45" s="53">
        <f t="shared" si="32"/>
        <v>0</v>
      </c>
      <c r="Q45" s="53">
        <f t="shared" si="32"/>
        <v>0</v>
      </c>
      <c r="R45" s="53">
        <f t="shared" si="32"/>
        <v>0</v>
      </c>
      <c r="S45" s="53">
        <f t="shared" si="32"/>
        <v>0</v>
      </c>
      <c r="T45" s="53">
        <f t="shared" si="32"/>
        <v>0</v>
      </c>
      <c r="U45" s="53">
        <f t="shared" si="32"/>
        <v>0</v>
      </c>
      <c r="V45" s="53">
        <f t="shared" si="32"/>
        <v>0</v>
      </c>
      <c r="W45" s="53">
        <f t="shared" si="32"/>
        <v>0</v>
      </c>
      <c r="X45" s="53">
        <f t="shared" si="32"/>
        <v>0</v>
      </c>
      <c r="Y45" s="53">
        <f t="shared" si="32"/>
        <v>0</v>
      </c>
      <c r="Z45" s="53">
        <f t="shared" si="33"/>
        <v>2.5000000000000001E-3</v>
      </c>
      <c r="AA45" s="53">
        <f t="shared" si="33"/>
        <v>7.4999999999999997E-3</v>
      </c>
      <c r="AB45" s="53">
        <f t="shared" si="33"/>
        <v>0</v>
      </c>
      <c r="AC45" s="53">
        <f t="shared" si="33"/>
        <v>0</v>
      </c>
      <c r="AD45" s="53">
        <f t="shared" si="33"/>
        <v>0</v>
      </c>
      <c r="AE45" s="53">
        <f t="shared" si="33"/>
        <v>0</v>
      </c>
      <c r="AF45" s="53">
        <f t="shared" si="33"/>
        <v>0</v>
      </c>
      <c r="AG45" s="53">
        <f t="shared" si="33"/>
        <v>0</v>
      </c>
      <c r="AH45" s="53">
        <f t="shared" si="33"/>
        <v>0</v>
      </c>
      <c r="AI45" s="53">
        <f t="shared" si="33"/>
        <v>0</v>
      </c>
      <c r="AJ45" s="53">
        <f t="shared" si="34"/>
        <v>0</v>
      </c>
      <c r="AK45" s="53">
        <f t="shared" si="34"/>
        <v>0</v>
      </c>
      <c r="AL45" s="53">
        <f t="shared" si="34"/>
        <v>0</v>
      </c>
      <c r="AM45" s="53">
        <f t="shared" si="34"/>
        <v>0</v>
      </c>
      <c r="AN45" s="53">
        <f t="shared" si="34"/>
        <v>0</v>
      </c>
      <c r="AO45" s="53">
        <f t="shared" si="34"/>
        <v>0</v>
      </c>
      <c r="AP45" s="53">
        <f t="shared" si="34"/>
        <v>0</v>
      </c>
      <c r="AQ45" s="53">
        <f t="shared" si="34"/>
        <v>0</v>
      </c>
      <c r="AR45" s="53">
        <f t="shared" si="34"/>
        <v>0</v>
      </c>
      <c r="AS45" s="53">
        <f t="shared" si="34"/>
        <v>0</v>
      </c>
      <c r="AT45" s="53">
        <f t="shared" si="35"/>
        <v>0</v>
      </c>
      <c r="AU45" s="53">
        <f t="shared" si="35"/>
        <v>0</v>
      </c>
      <c r="AV45" s="53">
        <f t="shared" si="35"/>
        <v>0</v>
      </c>
      <c r="AW45" s="53">
        <f t="shared" si="35"/>
        <v>0</v>
      </c>
      <c r="AX45" s="53">
        <f t="shared" si="35"/>
        <v>0</v>
      </c>
      <c r="AY45" s="53">
        <f t="shared" si="35"/>
        <v>0</v>
      </c>
      <c r="AZ45" s="53">
        <f t="shared" si="35"/>
        <v>0</v>
      </c>
      <c r="BA45" s="53">
        <f t="shared" si="35"/>
        <v>0</v>
      </c>
      <c r="BB45" s="53">
        <f t="shared" si="35"/>
        <v>0</v>
      </c>
      <c r="BC45" s="53">
        <f t="shared" si="35"/>
        <v>0</v>
      </c>
      <c r="BD45" s="53">
        <f t="shared" si="36"/>
        <v>0</v>
      </c>
      <c r="BE45" s="53">
        <f t="shared" si="36"/>
        <v>0</v>
      </c>
      <c r="BF45" s="53">
        <f t="shared" si="36"/>
        <v>0</v>
      </c>
      <c r="BG45" s="53">
        <f t="shared" si="36"/>
        <v>0</v>
      </c>
      <c r="BH45" s="53">
        <f t="shared" si="36"/>
        <v>0</v>
      </c>
      <c r="BI45" s="53">
        <f t="shared" si="36"/>
        <v>0</v>
      </c>
      <c r="BJ45" s="53">
        <f t="shared" si="36"/>
        <v>0</v>
      </c>
      <c r="BK45" s="53">
        <f t="shared" si="36"/>
        <v>0</v>
      </c>
    </row>
    <row r="46" spans="1:63" x14ac:dyDescent="0.25">
      <c r="A46" s="45"/>
      <c r="B46" s="46" t="s">
        <v>98</v>
      </c>
      <c r="C46" s="48">
        <v>0.02</v>
      </c>
      <c r="D46" s="47">
        <v>46232</v>
      </c>
      <c r="E46" s="47">
        <v>46234</v>
      </c>
      <c r="F46" s="7">
        <f t="shared" si="24"/>
        <v>0.02</v>
      </c>
      <c r="G46" s="48">
        <f t="shared" si="25"/>
        <v>0.02</v>
      </c>
      <c r="H46" s="49">
        <f t="shared" si="23"/>
        <v>3</v>
      </c>
      <c r="I46" s="50">
        <f t="shared" si="26"/>
        <v>0</v>
      </c>
      <c r="J46" s="50">
        <f t="shared" si="27"/>
        <v>0</v>
      </c>
      <c r="K46" s="50">
        <v>0</v>
      </c>
      <c r="L46" s="50">
        <f t="shared" si="28"/>
        <v>0</v>
      </c>
      <c r="M46" s="50">
        <f t="shared" si="29"/>
        <v>0</v>
      </c>
      <c r="N46" s="51">
        <f t="shared" si="30"/>
        <v>0.02</v>
      </c>
      <c r="O46" s="52">
        <f t="shared" si="31"/>
        <v>0.02</v>
      </c>
      <c r="P46" s="53">
        <f t="shared" si="32"/>
        <v>0</v>
      </c>
      <c r="Q46" s="53">
        <f t="shared" si="32"/>
        <v>0</v>
      </c>
      <c r="R46" s="53">
        <f t="shared" si="32"/>
        <v>0</v>
      </c>
      <c r="S46" s="53">
        <f t="shared" si="32"/>
        <v>0</v>
      </c>
      <c r="T46" s="53">
        <f t="shared" si="32"/>
        <v>0</v>
      </c>
      <c r="U46" s="53">
        <f t="shared" si="32"/>
        <v>0</v>
      </c>
      <c r="V46" s="53">
        <f t="shared" si="32"/>
        <v>0</v>
      </c>
      <c r="W46" s="53">
        <f t="shared" si="32"/>
        <v>0</v>
      </c>
      <c r="X46" s="53">
        <f t="shared" si="32"/>
        <v>0</v>
      </c>
      <c r="Y46" s="53">
        <f t="shared" si="32"/>
        <v>0</v>
      </c>
      <c r="Z46" s="53">
        <f t="shared" si="33"/>
        <v>0</v>
      </c>
      <c r="AA46" s="53">
        <f t="shared" si="33"/>
        <v>1.3333333333333334E-2</v>
      </c>
      <c r="AB46" s="53">
        <f t="shared" si="33"/>
        <v>6.6666666666666671E-3</v>
      </c>
      <c r="AC46" s="53">
        <f t="shared" si="33"/>
        <v>0</v>
      </c>
      <c r="AD46" s="53">
        <f t="shared" si="33"/>
        <v>0</v>
      </c>
      <c r="AE46" s="53">
        <f t="shared" si="33"/>
        <v>0</v>
      </c>
      <c r="AF46" s="53">
        <f t="shared" si="33"/>
        <v>0</v>
      </c>
      <c r="AG46" s="53">
        <f t="shared" si="33"/>
        <v>0</v>
      </c>
      <c r="AH46" s="53">
        <f t="shared" si="33"/>
        <v>0</v>
      </c>
      <c r="AI46" s="53">
        <f t="shared" si="33"/>
        <v>0</v>
      </c>
      <c r="AJ46" s="53">
        <f t="shared" si="34"/>
        <v>0</v>
      </c>
      <c r="AK46" s="53">
        <f t="shared" si="34"/>
        <v>0</v>
      </c>
      <c r="AL46" s="53">
        <f t="shared" si="34"/>
        <v>0</v>
      </c>
      <c r="AM46" s="53">
        <f t="shared" si="34"/>
        <v>0</v>
      </c>
      <c r="AN46" s="53">
        <f t="shared" si="34"/>
        <v>0</v>
      </c>
      <c r="AO46" s="53">
        <f t="shared" si="34"/>
        <v>0</v>
      </c>
      <c r="AP46" s="53">
        <f t="shared" si="34"/>
        <v>0</v>
      </c>
      <c r="AQ46" s="53">
        <f t="shared" si="34"/>
        <v>0</v>
      </c>
      <c r="AR46" s="53">
        <f t="shared" si="34"/>
        <v>0</v>
      </c>
      <c r="AS46" s="53">
        <f t="shared" si="34"/>
        <v>0</v>
      </c>
      <c r="AT46" s="53">
        <f t="shared" si="35"/>
        <v>0</v>
      </c>
      <c r="AU46" s="53">
        <f t="shared" si="35"/>
        <v>0</v>
      </c>
      <c r="AV46" s="53">
        <f t="shared" si="35"/>
        <v>0</v>
      </c>
      <c r="AW46" s="53">
        <f t="shared" si="35"/>
        <v>0</v>
      </c>
      <c r="AX46" s="53">
        <f t="shared" si="35"/>
        <v>0</v>
      </c>
      <c r="AY46" s="53">
        <f t="shared" si="35"/>
        <v>0</v>
      </c>
      <c r="AZ46" s="53">
        <f t="shared" si="35"/>
        <v>0</v>
      </c>
      <c r="BA46" s="53">
        <f t="shared" si="35"/>
        <v>0</v>
      </c>
      <c r="BB46" s="53">
        <f t="shared" si="35"/>
        <v>0</v>
      </c>
      <c r="BC46" s="53">
        <f t="shared" si="35"/>
        <v>0</v>
      </c>
      <c r="BD46" s="53">
        <f t="shared" si="36"/>
        <v>0</v>
      </c>
      <c r="BE46" s="53">
        <f t="shared" si="36"/>
        <v>0</v>
      </c>
      <c r="BF46" s="53">
        <f t="shared" si="36"/>
        <v>0</v>
      </c>
      <c r="BG46" s="53">
        <f t="shared" si="36"/>
        <v>0</v>
      </c>
      <c r="BH46" s="53">
        <f t="shared" si="36"/>
        <v>0</v>
      </c>
      <c r="BI46" s="53">
        <f t="shared" si="36"/>
        <v>0</v>
      </c>
      <c r="BJ46" s="53">
        <f t="shared" si="36"/>
        <v>0</v>
      </c>
      <c r="BK46" s="53">
        <f t="shared" si="36"/>
        <v>0</v>
      </c>
    </row>
    <row r="47" spans="1:63" x14ac:dyDescent="0.25">
      <c r="A47" s="45"/>
      <c r="B47" s="46" t="s">
        <v>99</v>
      </c>
      <c r="C47" s="48">
        <v>0.02</v>
      </c>
      <c r="D47" s="47">
        <v>46237</v>
      </c>
      <c r="E47" s="47">
        <v>46240</v>
      </c>
      <c r="F47" s="7">
        <f t="shared" si="24"/>
        <v>0.02</v>
      </c>
      <c r="G47" s="48">
        <f t="shared" si="25"/>
        <v>0.02</v>
      </c>
      <c r="H47" s="49">
        <f t="shared" si="23"/>
        <v>4</v>
      </c>
      <c r="I47" s="50">
        <f t="shared" si="26"/>
        <v>0</v>
      </c>
      <c r="J47" s="50">
        <f t="shared" si="27"/>
        <v>0</v>
      </c>
      <c r="K47" s="50">
        <v>0</v>
      </c>
      <c r="L47" s="50">
        <f t="shared" si="28"/>
        <v>0</v>
      </c>
      <c r="M47" s="50">
        <f t="shared" si="29"/>
        <v>0</v>
      </c>
      <c r="N47" s="51">
        <f t="shared" si="30"/>
        <v>0.02</v>
      </c>
      <c r="O47" s="52">
        <f t="shared" si="31"/>
        <v>0.02</v>
      </c>
      <c r="P47" s="53">
        <f t="shared" si="32"/>
        <v>0</v>
      </c>
      <c r="Q47" s="53">
        <f t="shared" si="32"/>
        <v>0</v>
      </c>
      <c r="R47" s="53">
        <f t="shared" si="32"/>
        <v>0</v>
      </c>
      <c r="S47" s="53">
        <f t="shared" si="32"/>
        <v>0</v>
      </c>
      <c r="T47" s="53">
        <f t="shared" si="32"/>
        <v>0</v>
      </c>
      <c r="U47" s="53">
        <f t="shared" si="32"/>
        <v>0</v>
      </c>
      <c r="V47" s="53">
        <f t="shared" si="32"/>
        <v>0</v>
      </c>
      <c r="W47" s="53">
        <f t="shared" si="32"/>
        <v>0</v>
      </c>
      <c r="X47" s="53">
        <f t="shared" si="32"/>
        <v>0</v>
      </c>
      <c r="Y47" s="53">
        <f t="shared" si="32"/>
        <v>0</v>
      </c>
      <c r="Z47" s="53">
        <f t="shared" si="33"/>
        <v>0</v>
      </c>
      <c r="AA47" s="53">
        <f t="shared" si="33"/>
        <v>0</v>
      </c>
      <c r="AB47" s="53">
        <f t="shared" si="33"/>
        <v>0.02</v>
      </c>
      <c r="AC47" s="53">
        <f t="shared" si="33"/>
        <v>0</v>
      </c>
      <c r="AD47" s="53">
        <f t="shared" si="33"/>
        <v>0</v>
      </c>
      <c r="AE47" s="53">
        <f t="shared" si="33"/>
        <v>0</v>
      </c>
      <c r="AF47" s="53">
        <f t="shared" si="33"/>
        <v>0</v>
      </c>
      <c r="AG47" s="53">
        <f t="shared" si="33"/>
        <v>0</v>
      </c>
      <c r="AH47" s="53">
        <f t="shared" si="33"/>
        <v>0</v>
      </c>
      <c r="AI47" s="53">
        <f t="shared" si="33"/>
        <v>0</v>
      </c>
      <c r="AJ47" s="53">
        <f t="shared" si="34"/>
        <v>0</v>
      </c>
      <c r="AK47" s="53">
        <f t="shared" si="34"/>
        <v>0</v>
      </c>
      <c r="AL47" s="53">
        <f t="shared" si="34"/>
        <v>0</v>
      </c>
      <c r="AM47" s="53">
        <f t="shared" si="34"/>
        <v>0</v>
      </c>
      <c r="AN47" s="53">
        <f t="shared" si="34"/>
        <v>0</v>
      </c>
      <c r="AO47" s="53">
        <f t="shared" si="34"/>
        <v>0</v>
      </c>
      <c r="AP47" s="53">
        <f t="shared" si="34"/>
        <v>0</v>
      </c>
      <c r="AQ47" s="53">
        <f t="shared" si="34"/>
        <v>0</v>
      </c>
      <c r="AR47" s="53">
        <f t="shared" si="34"/>
        <v>0</v>
      </c>
      <c r="AS47" s="53">
        <f t="shared" si="34"/>
        <v>0</v>
      </c>
      <c r="AT47" s="53">
        <f t="shared" si="35"/>
        <v>0</v>
      </c>
      <c r="AU47" s="53">
        <f t="shared" si="35"/>
        <v>0</v>
      </c>
      <c r="AV47" s="53">
        <f t="shared" si="35"/>
        <v>0</v>
      </c>
      <c r="AW47" s="53">
        <f t="shared" si="35"/>
        <v>0</v>
      </c>
      <c r="AX47" s="53">
        <f t="shared" si="35"/>
        <v>0</v>
      </c>
      <c r="AY47" s="53">
        <f t="shared" si="35"/>
        <v>0</v>
      </c>
      <c r="AZ47" s="53">
        <f t="shared" si="35"/>
        <v>0</v>
      </c>
      <c r="BA47" s="53">
        <f t="shared" si="35"/>
        <v>0</v>
      </c>
      <c r="BB47" s="53">
        <f t="shared" si="35"/>
        <v>0</v>
      </c>
      <c r="BC47" s="53">
        <f t="shared" si="35"/>
        <v>0</v>
      </c>
      <c r="BD47" s="53">
        <f t="shared" si="36"/>
        <v>0</v>
      </c>
      <c r="BE47" s="53">
        <f t="shared" si="36"/>
        <v>0</v>
      </c>
      <c r="BF47" s="53">
        <f t="shared" si="36"/>
        <v>0</v>
      </c>
      <c r="BG47" s="53">
        <f t="shared" si="36"/>
        <v>0</v>
      </c>
      <c r="BH47" s="53">
        <f t="shared" si="36"/>
        <v>0</v>
      </c>
      <c r="BI47" s="53">
        <f t="shared" si="36"/>
        <v>0</v>
      </c>
      <c r="BJ47" s="53">
        <f t="shared" si="36"/>
        <v>0</v>
      </c>
      <c r="BK47" s="53">
        <f t="shared" si="36"/>
        <v>0</v>
      </c>
    </row>
    <row r="48" spans="1:63" x14ac:dyDescent="0.25">
      <c r="A48" s="45"/>
      <c r="B48" s="46" t="s">
        <v>93</v>
      </c>
      <c r="C48" s="48">
        <v>0.02</v>
      </c>
      <c r="D48" s="47">
        <v>46241</v>
      </c>
      <c r="E48" s="47">
        <v>46245</v>
      </c>
      <c r="F48" s="7">
        <f t="shared" si="24"/>
        <v>0.02</v>
      </c>
      <c r="G48" s="48">
        <f t="shared" si="25"/>
        <v>0.02</v>
      </c>
      <c r="H48" s="49">
        <f t="shared" si="23"/>
        <v>3</v>
      </c>
      <c r="I48" s="50">
        <f t="shared" si="26"/>
        <v>0</v>
      </c>
      <c r="J48" s="50">
        <f t="shared" si="27"/>
        <v>0</v>
      </c>
      <c r="K48" s="50">
        <v>0</v>
      </c>
      <c r="L48" s="50">
        <f t="shared" si="28"/>
        <v>0</v>
      </c>
      <c r="M48" s="50">
        <f t="shared" si="29"/>
        <v>0</v>
      </c>
      <c r="N48" s="51">
        <f t="shared" si="30"/>
        <v>0.02</v>
      </c>
      <c r="O48" s="52">
        <f t="shared" si="31"/>
        <v>0.02</v>
      </c>
      <c r="P48" s="53">
        <f t="shared" si="32"/>
        <v>0</v>
      </c>
      <c r="Q48" s="53">
        <f t="shared" si="32"/>
        <v>0</v>
      </c>
      <c r="R48" s="53">
        <f t="shared" si="32"/>
        <v>0</v>
      </c>
      <c r="S48" s="53">
        <f t="shared" si="32"/>
        <v>0</v>
      </c>
      <c r="T48" s="53">
        <f t="shared" si="32"/>
        <v>0</v>
      </c>
      <c r="U48" s="53">
        <f t="shared" si="32"/>
        <v>0</v>
      </c>
      <c r="V48" s="53">
        <f t="shared" si="32"/>
        <v>0</v>
      </c>
      <c r="W48" s="53">
        <f t="shared" si="32"/>
        <v>0</v>
      </c>
      <c r="X48" s="53">
        <f t="shared" si="32"/>
        <v>0</v>
      </c>
      <c r="Y48" s="53">
        <f t="shared" si="32"/>
        <v>0</v>
      </c>
      <c r="Z48" s="53">
        <f t="shared" si="33"/>
        <v>0</v>
      </c>
      <c r="AA48" s="53">
        <f t="shared" si="33"/>
        <v>0</v>
      </c>
      <c r="AB48" s="53">
        <f t="shared" si="33"/>
        <v>0</v>
      </c>
      <c r="AC48" s="53">
        <f t="shared" si="33"/>
        <v>0.02</v>
      </c>
      <c r="AD48" s="53">
        <f t="shared" si="33"/>
        <v>0</v>
      </c>
      <c r="AE48" s="53">
        <f t="shared" si="33"/>
        <v>0</v>
      </c>
      <c r="AF48" s="53">
        <f t="shared" si="33"/>
        <v>0</v>
      </c>
      <c r="AG48" s="53">
        <f t="shared" si="33"/>
        <v>0</v>
      </c>
      <c r="AH48" s="53">
        <f t="shared" si="33"/>
        <v>0</v>
      </c>
      <c r="AI48" s="53">
        <f t="shared" si="33"/>
        <v>0</v>
      </c>
      <c r="AJ48" s="53">
        <f t="shared" si="34"/>
        <v>0</v>
      </c>
      <c r="AK48" s="53">
        <f t="shared" si="34"/>
        <v>0</v>
      </c>
      <c r="AL48" s="53">
        <f t="shared" si="34"/>
        <v>0</v>
      </c>
      <c r="AM48" s="53">
        <f t="shared" si="34"/>
        <v>0</v>
      </c>
      <c r="AN48" s="53">
        <f t="shared" si="34"/>
        <v>0</v>
      </c>
      <c r="AO48" s="53">
        <f t="shared" si="34"/>
        <v>0</v>
      </c>
      <c r="AP48" s="53">
        <f t="shared" si="34"/>
        <v>0</v>
      </c>
      <c r="AQ48" s="53">
        <f t="shared" si="34"/>
        <v>0</v>
      </c>
      <c r="AR48" s="53">
        <f t="shared" si="34"/>
        <v>0</v>
      </c>
      <c r="AS48" s="53">
        <f t="shared" si="34"/>
        <v>0</v>
      </c>
      <c r="AT48" s="53">
        <f t="shared" si="35"/>
        <v>0</v>
      </c>
      <c r="AU48" s="53">
        <f t="shared" si="35"/>
        <v>0</v>
      </c>
      <c r="AV48" s="53">
        <f t="shared" si="35"/>
        <v>0</v>
      </c>
      <c r="AW48" s="53">
        <f t="shared" si="35"/>
        <v>0</v>
      </c>
      <c r="AX48" s="53">
        <f t="shared" si="35"/>
        <v>0</v>
      </c>
      <c r="AY48" s="53">
        <f t="shared" si="35"/>
        <v>0</v>
      </c>
      <c r="AZ48" s="53">
        <f t="shared" si="35"/>
        <v>0</v>
      </c>
      <c r="BA48" s="53">
        <f t="shared" si="35"/>
        <v>0</v>
      </c>
      <c r="BB48" s="53">
        <f t="shared" si="35"/>
        <v>0</v>
      </c>
      <c r="BC48" s="53">
        <f t="shared" si="35"/>
        <v>0</v>
      </c>
      <c r="BD48" s="53">
        <f t="shared" si="36"/>
        <v>0</v>
      </c>
      <c r="BE48" s="53">
        <f t="shared" si="36"/>
        <v>0</v>
      </c>
      <c r="BF48" s="53">
        <f t="shared" si="36"/>
        <v>0</v>
      </c>
      <c r="BG48" s="53">
        <f t="shared" si="36"/>
        <v>0</v>
      </c>
      <c r="BH48" s="53">
        <f t="shared" si="36"/>
        <v>0</v>
      </c>
      <c r="BI48" s="53">
        <f t="shared" si="36"/>
        <v>0</v>
      </c>
      <c r="BJ48" s="53">
        <f t="shared" si="36"/>
        <v>0</v>
      </c>
      <c r="BK48" s="53">
        <f t="shared" si="36"/>
        <v>0</v>
      </c>
    </row>
    <row r="49" spans="1:63" x14ac:dyDescent="0.25">
      <c r="A49" s="45"/>
      <c r="B49" s="46" t="s">
        <v>100</v>
      </c>
      <c r="C49" s="48">
        <v>0.01</v>
      </c>
      <c r="D49" s="47">
        <v>46245</v>
      </c>
      <c r="E49" s="47">
        <v>46245</v>
      </c>
      <c r="F49" s="7">
        <f t="shared" si="24"/>
        <v>0.01</v>
      </c>
      <c r="G49" s="48">
        <f t="shared" si="25"/>
        <v>0.01</v>
      </c>
      <c r="H49" s="49">
        <f t="shared" si="23"/>
        <v>1</v>
      </c>
      <c r="I49" s="50">
        <f t="shared" si="26"/>
        <v>0</v>
      </c>
      <c r="J49" s="50">
        <f t="shared" si="27"/>
        <v>0</v>
      </c>
      <c r="K49" s="50">
        <v>0</v>
      </c>
      <c r="L49" s="50">
        <f t="shared" si="28"/>
        <v>0</v>
      </c>
      <c r="M49" s="50">
        <f t="shared" si="29"/>
        <v>0</v>
      </c>
      <c r="N49" s="51">
        <f t="shared" si="30"/>
        <v>0.01</v>
      </c>
      <c r="O49" s="52">
        <f t="shared" si="31"/>
        <v>0.01</v>
      </c>
      <c r="P49" s="53">
        <f t="shared" si="32"/>
        <v>0</v>
      </c>
      <c r="Q49" s="53">
        <f t="shared" si="32"/>
        <v>0</v>
      </c>
      <c r="R49" s="53">
        <f t="shared" si="32"/>
        <v>0</v>
      </c>
      <c r="S49" s="53">
        <f t="shared" si="32"/>
        <v>0</v>
      </c>
      <c r="T49" s="53">
        <f t="shared" si="32"/>
        <v>0</v>
      </c>
      <c r="U49" s="53">
        <f t="shared" si="32"/>
        <v>0</v>
      </c>
      <c r="V49" s="53">
        <f t="shared" si="32"/>
        <v>0</v>
      </c>
      <c r="W49" s="53">
        <f t="shared" si="32"/>
        <v>0</v>
      </c>
      <c r="X49" s="53">
        <f t="shared" si="32"/>
        <v>0</v>
      </c>
      <c r="Y49" s="53">
        <f t="shared" si="32"/>
        <v>0</v>
      </c>
      <c r="Z49" s="53">
        <f t="shared" si="33"/>
        <v>0</v>
      </c>
      <c r="AA49" s="53">
        <f t="shared" si="33"/>
        <v>0</v>
      </c>
      <c r="AB49" s="53">
        <f t="shared" si="33"/>
        <v>0</v>
      </c>
      <c r="AC49" s="53">
        <f t="shared" si="33"/>
        <v>0.01</v>
      </c>
      <c r="AD49" s="53">
        <f t="shared" si="33"/>
        <v>0</v>
      </c>
      <c r="AE49" s="53">
        <f t="shared" si="33"/>
        <v>0</v>
      </c>
      <c r="AF49" s="53">
        <f t="shared" si="33"/>
        <v>0</v>
      </c>
      <c r="AG49" s="53">
        <f t="shared" si="33"/>
        <v>0</v>
      </c>
      <c r="AH49" s="53">
        <f t="shared" si="33"/>
        <v>0</v>
      </c>
      <c r="AI49" s="53">
        <f t="shared" si="33"/>
        <v>0</v>
      </c>
      <c r="AJ49" s="53">
        <f t="shared" si="34"/>
        <v>0</v>
      </c>
      <c r="AK49" s="53">
        <f t="shared" si="34"/>
        <v>0</v>
      </c>
      <c r="AL49" s="53">
        <f t="shared" si="34"/>
        <v>0</v>
      </c>
      <c r="AM49" s="53">
        <f t="shared" si="34"/>
        <v>0</v>
      </c>
      <c r="AN49" s="53">
        <f t="shared" si="34"/>
        <v>0</v>
      </c>
      <c r="AO49" s="53">
        <f t="shared" si="34"/>
        <v>0</v>
      </c>
      <c r="AP49" s="53">
        <f t="shared" si="34"/>
        <v>0</v>
      </c>
      <c r="AQ49" s="53">
        <f t="shared" si="34"/>
        <v>0</v>
      </c>
      <c r="AR49" s="53">
        <f t="shared" si="34"/>
        <v>0</v>
      </c>
      <c r="AS49" s="53">
        <f t="shared" si="34"/>
        <v>0</v>
      </c>
      <c r="AT49" s="53">
        <f t="shared" si="35"/>
        <v>0</v>
      </c>
      <c r="AU49" s="53">
        <f t="shared" si="35"/>
        <v>0</v>
      </c>
      <c r="AV49" s="53">
        <f t="shared" si="35"/>
        <v>0</v>
      </c>
      <c r="AW49" s="53">
        <f t="shared" si="35"/>
        <v>0</v>
      </c>
      <c r="AX49" s="53">
        <f t="shared" si="35"/>
        <v>0</v>
      </c>
      <c r="AY49" s="53">
        <f t="shared" si="35"/>
        <v>0</v>
      </c>
      <c r="AZ49" s="53">
        <f t="shared" si="35"/>
        <v>0</v>
      </c>
      <c r="BA49" s="53">
        <f t="shared" si="35"/>
        <v>0</v>
      </c>
      <c r="BB49" s="53">
        <f t="shared" si="35"/>
        <v>0</v>
      </c>
      <c r="BC49" s="53">
        <f t="shared" si="35"/>
        <v>0</v>
      </c>
      <c r="BD49" s="53">
        <f t="shared" si="36"/>
        <v>0</v>
      </c>
      <c r="BE49" s="53">
        <f t="shared" si="36"/>
        <v>0</v>
      </c>
      <c r="BF49" s="53">
        <f t="shared" si="36"/>
        <v>0</v>
      </c>
      <c r="BG49" s="53">
        <f t="shared" si="36"/>
        <v>0</v>
      </c>
      <c r="BH49" s="53">
        <f t="shared" si="36"/>
        <v>0</v>
      </c>
      <c r="BI49" s="53">
        <f t="shared" si="36"/>
        <v>0</v>
      </c>
      <c r="BJ49" s="53">
        <f t="shared" si="36"/>
        <v>0</v>
      </c>
      <c r="BK49" s="53">
        <f t="shared" si="36"/>
        <v>0</v>
      </c>
    </row>
    <row r="50" spans="1:63" x14ac:dyDescent="0.25">
      <c r="A50" s="45"/>
      <c r="B50" s="46"/>
      <c r="C50" s="48"/>
      <c r="D50" s="47"/>
      <c r="E50" s="47"/>
      <c r="F50" s="7"/>
      <c r="G50" s="48"/>
      <c r="H50" s="49"/>
      <c r="I50" s="48"/>
      <c r="J50" s="48"/>
      <c r="K50" s="48"/>
      <c r="L50" s="48"/>
      <c r="M50" s="48"/>
      <c r="N50" s="51"/>
      <c r="O50" s="52"/>
      <c r="P50" s="53">
        <f>IF(AND($D50&lt;=P$17,$E50&gt;=P$16),$C50*NETWORKDAYS(MAX($D50,P$16),MIN($E50,P$17),Libur!$A$2:$A$38)/NETWORKDAYS($D50,$E50,Libur!$A$2:$A$38),0)</f>
        <v>0</v>
      </c>
      <c r="Q50" s="53">
        <f>IF(AND($D50&lt;=Q$17,$E50&gt;=Q$16),$C50*NETWORKDAYS(MAX($D50,Q$16),MIN($E50,Q$17),Libur!$A$2:$A$38)/NETWORKDAYS($D50,$E50,Libur!$A$2:$A$38),0)</f>
        <v>0</v>
      </c>
      <c r="R50" s="53">
        <f>IF(AND($D50&lt;=R$17,$E50&gt;=R$16),$C50*NETWORKDAYS(MAX($D50,R$16),MIN($E50,R$17),Libur!$A$2:$A$38)/NETWORKDAYS($D50,$E50,Libur!$A$2:$A$38),0)</f>
        <v>0</v>
      </c>
      <c r="S50" s="53">
        <f>IF(AND($D50&lt;=S$17,$E50&gt;=S$16),$C50*NETWORKDAYS(MAX($D50,S$16),MIN($E50,S$17),Libur!$A$2:$A$38)/NETWORKDAYS($D50,$E50,Libur!$A$2:$A$38),0)</f>
        <v>0</v>
      </c>
      <c r="T50" s="53">
        <f>IF(AND($D50&lt;=T$17,$E50&gt;=T$16),$C50*NETWORKDAYS(MAX($D50,T$16),MIN($E50,T$17),Libur!$A$2:$A$38)/NETWORKDAYS($D50,$E50,Libur!$A$2:$A$38),0)</f>
        <v>0</v>
      </c>
      <c r="U50" s="53">
        <f>IF(AND($D50&lt;=U$17,$E50&gt;=U$16),$C50*NETWORKDAYS(MAX($D50,U$16),MIN($E50,U$17),Libur!$A$2:$A$38)/NETWORKDAYS($D50,$E50,Libur!$A$2:$A$38),0)</f>
        <v>0</v>
      </c>
      <c r="V50" s="53">
        <f>IF(AND($D50&lt;=V$17,$E50&gt;=V$16),$C50*NETWORKDAYS(MAX($D50,V$16),MIN($E50,V$17),Libur!$A$2:$A$38)/NETWORKDAYS($D50,$E50,Libur!$A$2:$A$38),0)</f>
        <v>0</v>
      </c>
      <c r="W50" s="53">
        <f>IF(AND($D50&lt;=W$17,$E50&gt;=W$16),$C50*NETWORKDAYS(MAX($D50,W$16),MIN($E50,W$17),Libur!$A$2:$A$38)/NETWORKDAYS($D50,$E50,Libur!$A$2:$A$38),0)</f>
        <v>0</v>
      </c>
      <c r="X50" s="53">
        <f>IF(AND($D50&lt;=X$17,$E50&gt;=X$16),$C50*NETWORKDAYS(MAX($D50,X$16),MIN($E50,X$17),Libur!$A$2:$A$38)/NETWORKDAYS($D50,$E50,Libur!$A$2:$A$38),0)</f>
        <v>0</v>
      </c>
      <c r="Y50" s="53">
        <f>IF(AND($D50&lt;=Y$17,$E50&gt;=Y$16),$C50*NETWORKDAYS(MAX($D50,Y$16),MIN($E50,Y$17),Libur!$A$2:$A$38)/NETWORKDAYS($D50,$E50,Libur!$A$2:$A$38),0)</f>
        <v>0</v>
      </c>
      <c r="Z50" s="53">
        <f>IF(AND($D50&lt;=Z$17,$E50&gt;=Z$16),$C50*NETWORKDAYS(MAX($D50,Z$16),MIN($E50,Z$17),Libur!$A$2:$A$38)/NETWORKDAYS($D50,$E50,Libur!$A$2:$A$38),0)</f>
        <v>0</v>
      </c>
      <c r="AA50" s="53">
        <f>IF(AND($D50&lt;=AA$17,$E50&gt;=AA$16),$C50*NETWORKDAYS(MAX($D50,AA$16),MIN($E50,AA$17),Libur!$A$2:$A$38)/NETWORKDAYS($D50,$E50,Libur!$A$2:$A$38),0)</f>
        <v>0</v>
      </c>
      <c r="AB50" s="53">
        <f>IF(AND($D50&lt;=AB$17,$E50&gt;=AB$16),$C50*NETWORKDAYS(MAX($D50,AB$16),MIN($E50,AB$17),Libur!$A$2:$A$38)/NETWORKDAYS($D50,$E50,Libur!$A$2:$A$38),0)</f>
        <v>0</v>
      </c>
      <c r="AC50" s="53">
        <f>IF(AND($D50&lt;=AC$17,$E50&gt;=AC$16),$C50*NETWORKDAYS(MAX($D50,AC$16),MIN($E50,AC$17),Libur!$A$2:$A$38)/NETWORKDAYS($D50,$E50,Libur!$A$2:$A$38),0)</f>
        <v>0</v>
      </c>
      <c r="AD50" s="53">
        <f>IF(AND($D50&lt;=AD$17,$E50&gt;=AD$16),$C50*NETWORKDAYS(MAX($D50,AD$16),MIN($E50,AD$17),Libur!$A$2:$A$38)/NETWORKDAYS($D50,$E50,Libur!$A$2:$A$38),0)</f>
        <v>0</v>
      </c>
      <c r="AE50" s="53">
        <f>IF(AND($D50&lt;=AE$17,$E50&gt;=AE$16),$C50*NETWORKDAYS(MAX($D50,AE$16),MIN($E50,AE$17),Libur!$A$2:$A$38)/NETWORKDAYS($D50,$E50,Libur!$A$2:$A$38),0)</f>
        <v>0</v>
      </c>
      <c r="AF50" s="53">
        <f>IF(AND($D50&lt;=AF$17,$E50&gt;=AF$16),$C50*NETWORKDAYS(MAX($D50,AF$16),MIN($E50,AF$17),Libur!$A$2:$A$38)/NETWORKDAYS($D50,$E50,Libur!$A$2:$A$38),0)</f>
        <v>0</v>
      </c>
      <c r="AG50" s="53">
        <f>IF(AND($D50&lt;=AG$17,$E50&gt;=AG$16),$C50*NETWORKDAYS(MAX($D50,AG$16),MIN($E50,AG$17),Libur!$A$2:$A$38)/NETWORKDAYS($D50,$E50,Libur!$A$2:$A$38),0)</f>
        <v>0</v>
      </c>
      <c r="AH50" s="53">
        <f>IF(AND($D50&lt;=AH$17,$E50&gt;=AH$16),$C50*NETWORKDAYS(MAX($D50,AH$16),MIN($E50,AH$17),Libur!$A$2:$A$38)/NETWORKDAYS($D50,$E50,Libur!$A$2:$A$38),0)</f>
        <v>0</v>
      </c>
      <c r="AI50" s="53">
        <f>IF(AND($D50&lt;=AI$17,$E50&gt;=AI$16),$C50*NETWORKDAYS(MAX($D50,AI$16),MIN($E50,AI$17),Libur!$A$2:$A$38)/NETWORKDAYS($D50,$E50,Libur!$A$2:$A$38),0)</f>
        <v>0</v>
      </c>
      <c r="AJ50" s="53">
        <f>IF(AND($D50&lt;=AJ$17,$E50&gt;=AJ$16),$C50*NETWORKDAYS(MAX($D50,AJ$16),MIN($E50,AJ$17),Libur!$A$2:$A$38)/NETWORKDAYS($D50,$E50,Libur!$A$2:$A$38),0)</f>
        <v>0</v>
      </c>
      <c r="AK50" s="53">
        <f>IF(AND($D50&lt;=AK$17,$E50&gt;=AK$16),$C50*NETWORKDAYS(MAX($D50,AK$16),MIN($E50,AK$17),Libur!$A$2:$A$38)/NETWORKDAYS($D50,$E50,Libur!$A$2:$A$38),0)</f>
        <v>0</v>
      </c>
      <c r="AL50" s="53">
        <f>IF(AND($D50&lt;=AL$17,$E50&gt;=AL$16),$C50*NETWORKDAYS(MAX($D50,AL$16),MIN($E50,AL$17),Libur!$A$2:$A$38)/NETWORKDAYS($D50,$E50,Libur!$A$2:$A$38),0)</f>
        <v>0</v>
      </c>
      <c r="AM50" s="53">
        <f>IF(AND($D50&lt;=AM$17,$E50&gt;=AM$16),$C50*NETWORKDAYS(MAX($D50,AM$16),MIN($E50,AM$17),Libur!$A$2:$A$38)/NETWORKDAYS($D50,$E50,Libur!$A$2:$A$38),0)</f>
        <v>0</v>
      </c>
      <c r="AN50" s="53">
        <f>IF(AND($D50&lt;=AN$17,$E50&gt;=AN$16),$C50*NETWORKDAYS(MAX($D50,AN$16),MIN($E50,AN$17),Libur!$A$2:$A$38)/NETWORKDAYS($D50,$E50,Libur!$A$2:$A$38),0)</f>
        <v>0</v>
      </c>
      <c r="AO50" s="53">
        <f>IF(AND($D50&lt;=AO$17,$E50&gt;=AO$16),$C50*NETWORKDAYS(MAX($D50,AO$16),MIN($E50,AO$17),Libur!$A$2:$A$38)/NETWORKDAYS($D50,$E50,Libur!$A$2:$A$38),0)</f>
        <v>0</v>
      </c>
      <c r="AP50" s="53">
        <f>IF(AND($D50&lt;=AP$17,$E50&gt;=AP$16),$C50*NETWORKDAYS(MAX($D50,AP$16),MIN($E50,AP$17),Libur!$A$2:$A$38)/NETWORKDAYS($D50,$E50,Libur!$A$2:$A$38),0)</f>
        <v>0</v>
      </c>
      <c r="AQ50" s="53">
        <f>IF(AND($D50&lt;=AQ$17,$E50&gt;=AQ$16),$C50*NETWORKDAYS(MAX($D50,AQ$16),MIN($E50,AQ$17),Libur!$A$2:$A$38)/NETWORKDAYS($D50,$E50,Libur!$A$2:$A$38),0)</f>
        <v>0</v>
      </c>
      <c r="AR50" s="53">
        <f>IF(AND($D50&lt;=AR$17,$E50&gt;=AR$16),$C50*NETWORKDAYS(MAX($D50,AR$16),MIN($E50,AR$17),Libur!$A$2:$A$38)/NETWORKDAYS($D50,$E50,Libur!$A$2:$A$38),0)</f>
        <v>0</v>
      </c>
      <c r="AS50" s="53">
        <f>IF(AND($D50&lt;=AS$17,$E50&gt;=AS$16),$C50*NETWORKDAYS(MAX($D50,AS$16),MIN($E50,AS$17),Libur!$A$2:$A$38)/NETWORKDAYS($D50,$E50,Libur!$A$2:$A$38),0)</f>
        <v>0</v>
      </c>
      <c r="AT50" s="53">
        <f>IF(AND($D50&lt;=AT$17,$E50&gt;=AT$16),$C50*NETWORKDAYS(MAX($D50,AT$16),MIN($E50,AT$17),Libur!$A$2:$A$38)/NETWORKDAYS($D50,$E50,Libur!$A$2:$A$38),0)</f>
        <v>0</v>
      </c>
      <c r="AU50" s="53">
        <f>IF(AND($D50&lt;=AU$17,$E50&gt;=AU$16),$C50*NETWORKDAYS(MAX($D50,AU$16),MIN($E50,AU$17),Libur!$A$2:$A$38)/NETWORKDAYS($D50,$E50,Libur!$A$2:$A$38),0)</f>
        <v>0</v>
      </c>
      <c r="AV50" s="53">
        <f>IF(AND($D50&lt;=AV$17,$E50&gt;=AV$16),$C50*NETWORKDAYS(MAX($D50,AV$16),MIN($E50,AV$17),Libur!$A$2:$A$38)/NETWORKDAYS($D50,$E50,Libur!$A$2:$A$38),0)</f>
        <v>0</v>
      </c>
      <c r="AW50" s="53">
        <f>IF(AND($D50&lt;=AW$17,$E50&gt;=AW$16),$C50*NETWORKDAYS(MAX($D50,AW$16),MIN($E50,AW$17),Libur!$A$2:$A$38)/NETWORKDAYS($D50,$E50,Libur!$A$2:$A$38),0)</f>
        <v>0</v>
      </c>
      <c r="AX50" s="53">
        <f>IF(AND($D50&lt;=AX$17,$E50&gt;=AX$16),$C50*NETWORKDAYS(MAX($D50,AX$16),MIN($E50,AX$17),Libur!$A$2:$A$38)/NETWORKDAYS($D50,$E50,Libur!$A$2:$A$38),0)</f>
        <v>0</v>
      </c>
      <c r="AY50" s="53">
        <f>IF(AND($D50&lt;=AY$17,$E50&gt;=AY$16),$C50*NETWORKDAYS(MAX($D50,AY$16),MIN($E50,AY$17),Libur!$A$2:$A$38)/NETWORKDAYS($D50,$E50,Libur!$A$2:$A$38),0)</f>
        <v>0</v>
      </c>
      <c r="AZ50" s="53">
        <f>IF(AND($D50&lt;=AZ$17,$E50&gt;=AZ$16),$C50*NETWORKDAYS(MAX($D50,AZ$16),MIN($E50,AZ$17),Libur!$A$2:$A$38)/NETWORKDAYS($D50,$E50,Libur!$A$2:$A$38),0)</f>
        <v>0</v>
      </c>
      <c r="BA50" s="53">
        <f>IF(AND($D50&lt;=BA$17,$E50&gt;=BA$16),$C50*NETWORKDAYS(MAX($D50,BA$16),MIN($E50,BA$17),Libur!$A$2:$A$38)/NETWORKDAYS($D50,$E50,Libur!$A$2:$A$38),0)</f>
        <v>0</v>
      </c>
      <c r="BB50" s="53">
        <f>IF(AND($D50&lt;=BB$17,$E50&gt;=BB$16),$C50*NETWORKDAYS(MAX($D50,BB$16),MIN($E50,BB$17),Libur!$A$2:$A$38)/NETWORKDAYS($D50,$E50,Libur!$A$2:$A$38),0)</f>
        <v>0</v>
      </c>
      <c r="BC50" s="53">
        <f>IF(AND($D50&lt;=BC$17,$E50&gt;=BC$16),$C50*NETWORKDAYS(MAX($D50,BC$16),MIN($E50,BC$17),Libur!$A$2:$A$38)/NETWORKDAYS($D50,$E50,Libur!$A$2:$A$38),0)</f>
        <v>0</v>
      </c>
      <c r="BD50" s="53">
        <f>IF(AND($D50&lt;=BD$17,$E50&gt;=BD$16),$C50*NETWORKDAYS(MAX($D50,BD$16),MIN($E50,BD$17),Libur!$A$2:$A$38)/NETWORKDAYS($D50,$E50,Libur!$A$2:$A$38),0)</f>
        <v>0</v>
      </c>
      <c r="BE50" s="53">
        <f>IF(AND($D50&lt;=BE$17,$E50&gt;=BE$16),$C50*NETWORKDAYS(MAX($D50,BE$16),MIN($E50,BE$17),Libur!$A$2:$A$38)/NETWORKDAYS($D50,$E50,Libur!$A$2:$A$38),0)</f>
        <v>0</v>
      </c>
      <c r="BF50" s="53">
        <f>IF(AND($D50&lt;=BF$17,$E50&gt;=BF$16),$C50*NETWORKDAYS(MAX($D50,BF$16),MIN($E50,BF$17),Libur!$A$2:$A$38)/NETWORKDAYS($D50,$E50,Libur!$A$2:$A$38),0)</f>
        <v>0</v>
      </c>
      <c r="BG50" s="53">
        <f>IF(AND($D50&lt;=BG$17,$E50&gt;=BG$16),$C50*NETWORKDAYS(MAX($D50,BG$16),MIN($E50,BG$17),Libur!$A$2:$A$38)/NETWORKDAYS($D50,$E50,Libur!$A$2:$A$38),0)</f>
        <v>0</v>
      </c>
      <c r="BH50" s="53">
        <f>IF(AND($D50&lt;=BH$17,$E50&gt;=BH$16),$C50*NETWORKDAYS(MAX($D50,BH$16),MIN($E50,BH$17),Libur!$A$2:$A$38)/NETWORKDAYS($D50,$E50,Libur!$A$2:$A$38),0)</f>
        <v>0</v>
      </c>
      <c r="BI50" s="53">
        <f>IF(AND($D50&lt;=BI$17,$E50&gt;=BI$16),$C50*NETWORKDAYS(MAX($D50,BI$16),MIN($E50,BI$17),Libur!$A$2:$A$38)/NETWORKDAYS($D50,$E50,Libur!$A$2:$A$38),0)</f>
        <v>0</v>
      </c>
      <c r="BJ50" s="53">
        <f>IF(AND($D50&lt;=BJ$17,$E50&gt;=BJ$16),$C50*NETWORKDAYS(MAX($D50,BJ$16),MIN($E50,BJ$17),Libur!$A$2:$A$38)/NETWORKDAYS($D50,$E50,Libur!$A$2:$A$38),0)</f>
        <v>0</v>
      </c>
      <c r="BK50" s="53">
        <f>IF(AND($D50&lt;=BK$17,$E50&gt;=BK$16),$C50*NETWORKDAYS(MAX($D50,BK$16),MIN($E50,BK$17),Libur!$A$2:$A$38)/NETWORKDAYS($D50,$E50,Libur!$A$2:$A$38),0)</f>
        <v>0</v>
      </c>
    </row>
    <row r="51" spans="1:63" s="9" customFormat="1" x14ac:dyDescent="0.25">
      <c r="A51" s="36" t="s">
        <v>101</v>
      </c>
      <c r="B51" s="9" t="s">
        <v>102</v>
      </c>
      <c r="C51" s="37">
        <f>SUM(C52:C54)</f>
        <v>6.0000000000000005E-2</v>
      </c>
      <c r="D51" s="56">
        <f>MIN(D52:D54)</f>
        <v>46247</v>
      </c>
      <c r="E51" s="56">
        <f>MAX(E52:E54)</f>
        <v>46254</v>
      </c>
      <c r="F51" s="48"/>
      <c r="G51" s="48"/>
      <c r="H51" s="40">
        <f>NETWORKDAYS(D51,E51,Hari_Libur)</f>
        <v>5</v>
      </c>
      <c r="I51" s="41">
        <f>IF(C51=0,0,J51/C51)</f>
        <v>0</v>
      </c>
      <c r="J51" s="41">
        <f>SUM(J52:J54)</f>
        <v>0</v>
      </c>
      <c r="K51" s="41">
        <f>IF(C51=0,0,L51/C51)</f>
        <v>0</v>
      </c>
      <c r="L51" s="41">
        <f>SUM(L52:L54)</f>
        <v>0</v>
      </c>
      <c r="M51" s="41">
        <f>SUM(M52:M54)</f>
        <v>0</v>
      </c>
      <c r="N51" s="51"/>
      <c r="O51" s="52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</row>
    <row r="52" spans="1:63" x14ac:dyDescent="0.25">
      <c r="A52" s="45"/>
      <c r="B52" s="46" t="s">
        <v>102</v>
      </c>
      <c r="C52" s="48">
        <v>0.02</v>
      </c>
      <c r="D52" s="47">
        <v>46247</v>
      </c>
      <c r="E52" s="47">
        <v>46248</v>
      </c>
      <c r="F52" s="7">
        <f>C52</f>
        <v>0.02</v>
      </c>
      <c r="G52" s="48">
        <f>SUM(P52:AZ52)</f>
        <v>0.02</v>
      </c>
      <c r="H52" s="49">
        <f>NETWORKDAYS(D52,E52,Hari_Libur)</f>
        <v>2</v>
      </c>
      <c r="I52" s="50">
        <f>IF($C$8&gt;=E52,1,IF($C$8&lt;D52,0,IF(NETWORKDAYS(D52,E52,Hari_Libur)=0,0,NETWORKDAYS(D52,$C$8,Hari_Libur)/NETWORKDAYS(D52,E52,Hari_Libur))))</f>
        <v>0</v>
      </c>
      <c r="J52" s="50">
        <f>I52*F52</f>
        <v>0</v>
      </c>
      <c r="K52" s="50">
        <v>0</v>
      </c>
      <c r="L52" s="50">
        <f>C52*K52</f>
        <v>0</v>
      </c>
      <c r="M52" s="50">
        <f>L52-J52</f>
        <v>0</v>
      </c>
      <c r="N52" s="51">
        <f>C52</f>
        <v>0.02</v>
      </c>
      <c r="O52" s="52">
        <f>SUM(P52:BK52)</f>
        <v>0.02</v>
      </c>
      <c r="P52" s="53">
        <f t="shared" ref="P52:Y54" si="37">IF(AND($D52&lt;=P$17,$E52&gt;=P$16),$C52*NETWORKDAYS(MAX($D52,P$16),MIN($E52,P$17),Hari_Libur)/NETWORKDAYS($D52,$E52,Hari_Libur),0)</f>
        <v>0</v>
      </c>
      <c r="Q52" s="53">
        <f t="shared" si="37"/>
        <v>0</v>
      </c>
      <c r="R52" s="53">
        <f t="shared" si="37"/>
        <v>0</v>
      </c>
      <c r="S52" s="53">
        <f t="shared" si="37"/>
        <v>0</v>
      </c>
      <c r="T52" s="53">
        <f t="shared" si="37"/>
        <v>0</v>
      </c>
      <c r="U52" s="53">
        <f t="shared" si="37"/>
        <v>0</v>
      </c>
      <c r="V52" s="53">
        <f t="shared" si="37"/>
        <v>0</v>
      </c>
      <c r="W52" s="53">
        <f t="shared" si="37"/>
        <v>0</v>
      </c>
      <c r="X52" s="53">
        <f t="shared" si="37"/>
        <v>0</v>
      </c>
      <c r="Y52" s="53">
        <f t="shared" si="37"/>
        <v>0</v>
      </c>
      <c r="Z52" s="53">
        <f t="shared" ref="Z52:AI54" si="38">IF(AND($D52&lt;=Z$17,$E52&gt;=Z$16),$C52*NETWORKDAYS(MAX($D52,Z$16),MIN($E52,Z$17),Hari_Libur)/NETWORKDAYS($D52,$E52,Hari_Libur),0)</f>
        <v>0</v>
      </c>
      <c r="AA52" s="53">
        <f t="shared" si="38"/>
        <v>0</v>
      </c>
      <c r="AB52" s="53">
        <f t="shared" si="38"/>
        <v>0</v>
      </c>
      <c r="AC52" s="53">
        <f t="shared" si="38"/>
        <v>0.01</v>
      </c>
      <c r="AD52" s="53">
        <f t="shared" si="38"/>
        <v>0.01</v>
      </c>
      <c r="AE52" s="53">
        <f t="shared" si="38"/>
        <v>0</v>
      </c>
      <c r="AF52" s="53">
        <f t="shared" si="38"/>
        <v>0</v>
      </c>
      <c r="AG52" s="53">
        <f t="shared" si="38"/>
        <v>0</v>
      </c>
      <c r="AH52" s="53">
        <f t="shared" si="38"/>
        <v>0</v>
      </c>
      <c r="AI52" s="53">
        <f t="shared" si="38"/>
        <v>0</v>
      </c>
      <c r="AJ52" s="53">
        <f t="shared" ref="AJ52:AS54" si="39">IF(AND($D52&lt;=AJ$17,$E52&gt;=AJ$16),$C52*NETWORKDAYS(MAX($D52,AJ$16),MIN($E52,AJ$17),Hari_Libur)/NETWORKDAYS($D52,$E52,Hari_Libur),0)</f>
        <v>0</v>
      </c>
      <c r="AK52" s="53">
        <f t="shared" si="39"/>
        <v>0</v>
      </c>
      <c r="AL52" s="53">
        <f t="shared" si="39"/>
        <v>0</v>
      </c>
      <c r="AM52" s="53">
        <f t="shared" si="39"/>
        <v>0</v>
      </c>
      <c r="AN52" s="53">
        <f t="shared" si="39"/>
        <v>0</v>
      </c>
      <c r="AO52" s="53">
        <f t="shared" si="39"/>
        <v>0</v>
      </c>
      <c r="AP52" s="53">
        <f t="shared" si="39"/>
        <v>0</v>
      </c>
      <c r="AQ52" s="53">
        <f t="shared" si="39"/>
        <v>0</v>
      </c>
      <c r="AR52" s="53">
        <f t="shared" si="39"/>
        <v>0</v>
      </c>
      <c r="AS52" s="53">
        <f t="shared" si="39"/>
        <v>0</v>
      </c>
      <c r="AT52" s="53">
        <f t="shared" ref="AT52:BC54" si="40">IF(AND($D52&lt;=AT$17,$E52&gt;=AT$16),$C52*NETWORKDAYS(MAX($D52,AT$16),MIN($E52,AT$17),Hari_Libur)/NETWORKDAYS($D52,$E52,Hari_Libur),0)</f>
        <v>0</v>
      </c>
      <c r="AU52" s="53">
        <f t="shared" si="40"/>
        <v>0</v>
      </c>
      <c r="AV52" s="53">
        <f t="shared" si="40"/>
        <v>0</v>
      </c>
      <c r="AW52" s="53">
        <f t="shared" si="40"/>
        <v>0</v>
      </c>
      <c r="AX52" s="53">
        <f t="shared" si="40"/>
        <v>0</v>
      </c>
      <c r="AY52" s="53">
        <f t="shared" si="40"/>
        <v>0</v>
      </c>
      <c r="AZ52" s="53">
        <f t="shared" si="40"/>
        <v>0</v>
      </c>
      <c r="BA52" s="53">
        <f t="shared" si="40"/>
        <v>0</v>
      </c>
      <c r="BB52" s="53">
        <f t="shared" si="40"/>
        <v>0</v>
      </c>
      <c r="BC52" s="53">
        <f t="shared" si="40"/>
        <v>0</v>
      </c>
      <c r="BD52" s="53">
        <f t="shared" ref="BD52:BK54" si="41">IF(AND($D52&lt;=BD$17,$E52&gt;=BD$16),$C52*NETWORKDAYS(MAX($D52,BD$16),MIN($E52,BD$17),Hari_Libur)/NETWORKDAYS($D52,$E52,Hari_Libur),0)</f>
        <v>0</v>
      </c>
      <c r="BE52" s="53">
        <f t="shared" si="41"/>
        <v>0</v>
      </c>
      <c r="BF52" s="53">
        <f t="shared" si="41"/>
        <v>0</v>
      </c>
      <c r="BG52" s="53">
        <f t="shared" si="41"/>
        <v>0</v>
      </c>
      <c r="BH52" s="53">
        <f t="shared" si="41"/>
        <v>0</v>
      </c>
      <c r="BI52" s="53">
        <f t="shared" si="41"/>
        <v>0</v>
      </c>
      <c r="BJ52" s="53">
        <f t="shared" si="41"/>
        <v>0</v>
      </c>
      <c r="BK52" s="53">
        <f t="shared" si="41"/>
        <v>0</v>
      </c>
    </row>
    <row r="53" spans="1:63" x14ac:dyDescent="0.25">
      <c r="A53" s="45"/>
      <c r="B53" s="46" t="s">
        <v>103</v>
      </c>
      <c r="C53" s="48">
        <v>0.03</v>
      </c>
      <c r="D53" s="47">
        <v>46252</v>
      </c>
      <c r="E53" s="47">
        <v>46253</v>
      </c>
      <c r="F53" s="7">
        <f>C53</f>
        <v>0.03</v>
      </c>
      <c r="G53" s="48">
        <f>SUM(P53:AZ53)</f>
        <v>0.03</v>
      </c>
      <c r="H53" s="49">
        <f>NETWORKDAYS(D53,E53,Hari_Libur)</f>
        <v>2</v>
      </c>
      <c r="I53" s="50">
        <f>IF($C$8&gt;=E53,1,IF($C$8&lt;D53,0,IF(NETWORKDAYS(D53,E53,Hari_Libur)=0,0,NETWORKDAYS(D53,$C$8,Hari_Libur)/NETWORKDAYS(D53,E53,Hari_Libur))))</f>
        <v>0</v>
      </c>
      <c r="J53" s="50">
        <f>I53*F53</f>
        <v>0</v>
      </c>
      <c r="K53" s="50">
        <v>0</v>
      </c>
      <c r="L53" s="50">
        <f>C53*K53</f>
        <v>0</v>
      </c>
      <c r="M53" s="50">
        <f>L53-J53</f>
        <v>0</v>
      </c>
      <c r="N53" s="51">
        <f>C53</f>
        <v>0.03</v>
      </c>
      <c r="O53" s="52">
        <f>SUM(P53:BK53)</f>
        <v>0.03</v>
      </c>
      <c r="P53" s="53">
        <f t="shared" si="37"/>
        <v>0</v>
      </c>
      <c r="Q53" s="53">
        <f t="shared" si="37"/>
        <v>0</v>
      </c>
      <c r="R53" s="53">
        <f t="shared" si="37"/>
        <v>0</v>
      </c>
      <c r="S53" s="53">
        <f t="shared" si="37"/>
        <v>0</v>
      </c>
      <c r="T53" s="53">
        <f t="shared" si="37"/>
        <v>0</v>
      </c>
      <c r="U53" s="53">
        <f t="shared" si="37"/>
        <v>0</v>
      </c>
      <c r="V53" s="53">
        <f t="shared" si="37"/>
        <v>0</v>
      </c>
      <c r="W53" s="53">
        <f t="shared" si="37"/>
        <v>0</v>
      </c>
      <c r="X53" s="53">
        <f t="shared" si="37"/>
        <v>0</v>
      </c>
      <c r="Y53" s="53">
        <f t="shared" si="37"/>
        <v>0</v>
      </c>
      <c r="Z53" s="53">
        <f t="shared" si="38"/>
        <v>0</v>
      </c>
      <c r="AA53" s="53">
        <f t="shared" si="38"/>
        <v>0</v>
      </c>
      <c r="AB53" s="53">
        <f t="shared" si="38"/>
        <v>0</v>
      </c>
      <c r="AC53" s="53">
        <f t="shared" si="38"/>
        <v>0</v>
      </c>
      <c r="AD53" s="53">
        <f t="shared" si="38"/>
        <v>0.03</v>
      </c>
      <c r="AE53" s="53">
        <f t="shared" si="38"/>
        <v>0</v>
      </c>
      <c r="AF53" s="53">
        <f t="shared" si="38"/>
        <v>0</v>
      </c>
      <c r="AG53" s="53">
        <f t="shared" si="38"/>
        <v>0</v>
      </c>
      <c r="AH53" s="53">
        <f t="shared" si="38"/>
        <v>0</v>
      </c>
      <c r="AI53" s="53">
        <f t="shared" si="38"/>
        <v>0</v>
      </c>
      <c r="AJ53" s="53">
        <f t="shared" si="39"/>
        <v>0</v>
      </c>
      <c r="AK53" s="53">
        <f t="shared" si="39"/>
        <v>0</v>
      </c>
      <c r="AL53" s="53">
        <f t="shared" si="39"/>
        <v>0</v>
      </c>
      <c r="AM53" s="53">
        <f t="shared" si="39"/>
        <v>0</v>
      </c>
      <c r="AN53" s="53">
        <f t="shared" si="39"/>
        <v>0</v>
      </c>
      <c r="AO53" s="53">
        <f t="shared" si="39"/>
        <v>0</v>
      </c>
      <c r="AP53" s="53">
        <f t="shared" si="39"/>
        <v>0</v>
      </c>
      <c r="AQ53" s="53">
        <f t="shared" si="39"/>
        <v>0</v>
      </c>
      <c r="AR53" s="53">
        <f t="shared" si="39"/>
        <v>0</v>
      </c>
      <c r="AS53" s="53">
        <f t="shared" si="39"/>
        <v>0</v>
      </c>
      <c r="AT53" s="53">
        <f t="shared" si="40"/>
        <v>0</v>
      </c>
      <c r="AU53" s="53">
        <f t="shared" si="40"/>
        <v>0</v>
      </c>
      <c r="AV53" s="53">
        <f t="shared" si="40"/>
        <v>0</v>
      </c>
      <c r="AW53" s="53">
        <f t="shared" si="40"/>
        <v>0</v>
      </c>
      <c r="AX53" s="53">
        <f t="shared" si="40"/>
        <v>0</v>
      </c>
      <c r="AY53" s="53">
        <f t="shared" si="40"/>
        <v>0</v>
      </c>
      <c r="AZ53" s="53">
        <f t="shared" si="40"/>
        <v>0</v>
      </c>
      <c r="BA53" s="53">
        <f t="shared" si="40"/>
        <v>0</v>
      </c>
      <c r="BB53" s="53">
        <f t="shared" si="40"/>
        <v>0</v>
      </c>
      <c r="BC53" s="53">
        <f t="shared" si="40"/>
        <v>0</v>
      </c>
      <c r="BD53" s="53">
        <f t="shared" si="41"/>
        <v>0</v>
      </c>
      <c r="BE53" s="53">
        <f t="shared" si="41"/>
        <v>0</v>
      </c>
      <c r="BF53" s="53">
        <f t="shared" si="41"/>
        <v>0</v>
      </c>
      <c r="BG53" s="53">
        <f t="shared" si="41"/>
        <v>0</v>
      </c>
      <c r="BH53" s="53">
        <f t="shared" si="41"/>
        <v>0</v>
      </c>
      <c r="BI53" s="53">
        <f t="shared" si="41"/>
        <v>0</v>
      </c>
      <c r="BJ53" s="53">
        <f t="shared" si="41"/>
        <v>0</v>
      </c>
      <c r="BK53" s="53">
        <f t="shared" si="41"/>
        <v>0</v>
      </c>
    </row>
    <row r="54" spans="1:63" x14ac:dyDescent="0.25">
      <c r="A54" s="45"/>
      <c r="B54" s="46" t="s">
        <v>104</v>
      </c>
      <c r="C54" s="48">
        <v>0.01</v>
      </c>
      <c r="D54" s="47">
        <v>46254</v>
      </c>
      <c r="E54" s="47">
        <v>46254</v>
      </c>
      <c r="F54" s="7">
        <f>C54</f>
        <v>0.01</v>
      </c>
      <c r="G54" s="48">
        <f>SUM(P54:AZ54)</f>
        <v>0.01</v>
      </c>
      <c r="H54" s="49">
        <f>NETWORKDAYS(D54,E54,Hari_Libur)</f>
        <v>1</v>
      </c>
      <c r="I54" s="50">
        <f>IF($C$8&gt;=E54,1,IF($C$8&lt;D54,0,IF(NETWORKDAYS(D54,E54,Hari_Libur)=0,0,NETWORKDAYS(D54,$C$8,Hari_Libur)/NETWORKDAYS(D54,E54,Hari_Libur))))</f>
        <v>0</v>
      </c>
      <c r="J54" s="50">
        <f>I54*F54</f>
        <v>0</v>
      </c>
      <c r="K54" s="50">
        <v>0</v>
      </c>
      <c r="L54" s="50">
        <f>C54*K54</f>
        <v>0</v>
      </c>
      <c r="M54" s="50">
        <f>L54-J54</f>
        <v>0</v>
      </c>
      <c r="N54" s="51">
        <f>C54</f>
        <v>0.01</v>
      </c>
      <c r="O54" s="52">
        <f>SUM(P54:BK54)</f>
        <v>0.01</v>
      </c>
      <c r="P54" s="53">
        <f t="shared" si="37"/>
        <v>0</v>
      </c>
      <c r="Q54" s="53">
        <f t="shared" si="37"/>
        <v>0</v>
      </c>
      <c r="R54" s="53">
        <f t="shared" si="37"/>
        <v>0</v>
      </c>
      <c r="S54" s="53">
        <f t="shared" si="37"/>
        <v>0</v>
      </c>
      <c r="T54" s="53">
        <f t="shared" si="37"/>
        <v>0</v>
      </c>
      <c r="U54" s="53">
        <f t="shared" si="37"/>
        <v>0</v>
      </c>
      <c r="V54" s="53">
        <f t="shared" si="37"/>
        <v>0</v>
      </c>
      <c r="W54" s="53">
        <f t="shared" si="37"/>
        <v>0</v>
      </c>
      <c r="X54" s="53">
        <f t="shared" si="37"/>
        <v>0</v>
      </c>
      <c r="Y54" s="53">
        <f t="shared" si="37"/>
        <v>0</v>
      </c>
      <c r="Z54" s="53">
        <f t="shared" si="38"/>
        <v>0</v>
      </c>
      <c r="AA54" s="53">
        <f t="shared" si="38"/>
        <v>0</v>
      </c>
      <c r="AB54" s="53">
        <f t="shared" si="38"/>
        <v>0</v>
      </c>
      <c r="AC54" s="53">
        <f t="shared" si="38"/>
        <v>0</v>
      </c>
      <c r="AD54" s="53">
        <f t="shared" si="38"/>
        <v>0.01</v>
      </c>
      <c r="AE54" s="53">
        <f t="shared" si="38"/>
        <v>0</v>
      </c>
      <c r="AF54" s="53">
        <f t="shared" si="38"/>
        <v>0</v>
      </c>
      <c r="AG54" s="53">
        <f t="shared" si="38"/>
        <v>0</v>
      </c>
      <c r="AH54" s="53">
        <f t="shared" si="38"/>
        <v>0</v>
      </c>
      <c r="AI54" s="53">
        <f t="shared" si="38"/>
        <v>0</v>
      </c>
      <c r="AJ54" s="53">
        <f t="shared" si="39"/>
        <v>0</v>
      </c>
      <c r="AK54" s="53">
        <f t="shared" si="39"/>
        <v>0</v>
      </c>
      <c r="AL54" s="53">
        <f t="shared" si="39"/>
        <v>0</v>
      </c>
      <c r="AM54" s="53">
        <f t="shared" si="39"/>
        <v>0</v>
      </c>
      <c r="AN54" s="53">
        <f t="shared" si="39"/>
        <v>0</v>
      </c>
      <c r="AO54" s="53">
        <f t="shared" si="39"/>
        <v>0</v>
      </c>
      <c r="AP54" s="53">
        <f t="shared" si="39"/>
        <v>0</v>
      </c>
      <c r="AQ54" s="53">
        <f t="shared" si="39"/>
        <v>0</v>
      </c>
      <c r="AR54" s="53">
        <f t="shared" si="39"/>
        <v>0</v>
      </c>
      <c r="AS54" s="53">
        <f t="shared" si="39"/>
        <v>0</v>
      </c>
      <c r="AT54" s="53">
        <f t="shared" si="40"/>
        <v>0</v>
      </c>
      <c r="AU54" s="53">
        <f t="shared" si="40"/>
        <v>0</v>
      </c>
      <c r="AV54" s="53">
        <f t="shared" si="40"/>
        <v>0</v>
      </c>
      <c r="AW54" s="53">
        <f t="shared" si="40"/>
        <v>0</v>
      </c>
      <c r="AX54" s="53">
        <f t="shared" si="40"/>
        <v>0</v>
      </c>
      <c r="AY54" s="53">
        <f t="shared" si="40"/>
        <v>0</v>
      </c>
      <c r="AZ54" s="53">
        <f t="shared" si="40"/>
        <v>0</v>
      </c>
      <c r="BA54" s="53">
        <f t="shared" si="40"/>
        <v>0</v>
      </c>
      <c r="BB54" s="53">
        <f t="shared" si="40"/>
        <v>0</v>
      </c>
      <c r="BC54" s="53">
        <f t="shared" si="40"/>
        <v>0</v>
      </c>
      <c r="BD54" s="53">
        <f t="shared" si="41"/>
        <v>0</v>
      </c>
      <c r="BE54" s="53">
        <f t="shared" si="41"/>
        <v>0</v>
      </c>
      <c r="BF54" s="53">
        <f t="shared" si="41"/>
        <v>0</v>
      </c>
      <c r="BG54" s="53">
        <f t="shared" si="41"/>
        <v>0</v>
      </c>
      <c r="BH54" s="53">
        <f t="shared" si="41"/>
        <v>0</v>
      </c>
      <c r="BI54" s="53">
        <f t="shared" si="41"/>
        <v>0</v>
      </c>
      <c r="BJ54" s="53">
        <f t="shared" si="41"/>
        <v>0</v>
      </c>
      <c r="BK54" s="53">
        <f t="shared" si="41"/>
        <v>0</v>
      </c>
    </row>
    <row r="55" spans="1:63" s="9" customFormat="1" x14ac:dyDescent="0.25">
      <c r="A55" s="45"/>
      <c r="B55" s="46"/>
      <c r="C55" s="48"/>
      <c r="D55" s="47"/>
      <c r="E55" s="47"/>
      <c r="F55" s="48"/>
      <c r="G55" s="48"/>
      <c r="H55" s="49"/>
      <c r="I55" s="48"/>
      <c r="J55" s="48"/>
      <c r="K55" s="48"/>
      <c r="L55" s="48"/>
      <c r="M55" s="48"/>
      <c r="N55" s="48"/>
      <c r="O55" s="52"/>
      <c r="P55" s="53">
        <f>IF(AND($D55&lt;=P$17,$E55&gt;=P$16),$C55*NETWORKDAYS(MAX($D55,P$16),MIN($E55,P$17),Libur!$A$2:$A$38)/NETWORKDAYS($D55,$E55,Libur!$A$2:$A$38),0)</f>
        <v>0</v>
      </c>
      <c r="Q55" s="53">
        <f>IF(AND($D55&lt;=Q$17,$E55&gt;=Q$16),$C55*NETWORKDAYS(MAX($D55,Q$16),MIN($E55,Q$17),Libur!$A$2:$A$38)/NETWORKDAYS($D55,$E55,Libur!$A$2:$A$38),0)</f>
        <v>0</v>
      </c>
      <c r="R55" s="53">
        <f>IF(AND($D55&lt;=R$17,$E55&gt;=R$16),$C55*NETWORKDAYS(MAX($D55,R$16),MIN($E55,R$17),Libur!$A$2:$A$38)/NETWORKDAYS($D55,$E55,Libur!$A$2:$A$38),0)</f>
        <v>0</v>
      </c>
      <c r="S55" s="53">
        <f>IF(AND($D55&lt;=S$17,$E55&gt;=S$16),$C55*NETWORKDAYS(MAX($D55,S$16),MIN($E55,S$17),Libur!$A$2:$A$38)/NETWORKDAYS($D55,$E55,Libur!$A$2:$A$38),0)</f>
        <v>0</v>
      </c>
      <c r="T55" s="53">
        <f>IF(AND($D55&lt;=T$17,$E55&gt;=T$16),$C55*NETWORKDAYS(MAX($D55,T$16),MIN($E55,T$17),Libur!$A$2:$A$38)/NETWORKDAYS($D55,$E55,Libur!$A$2:$A$38),0)</f>
        <v>0</v>
      </c>
      <c r="U55" s="53">
        <f>IF(AND($D55&lt;=U$17,$E55&gt;=U$16),$C55*NETWORKDAYS(MAX($D55,U$16),MIN($E55,U$17),Libur!$A$2:$A$38)/NETWORKDAYS($D55,$E55,Libur!$A$2:$A$38),0)</f>
        <v>0</v>
      </c>
      <c r="V55" s="53">
        <f>IF(AND($D55&lt;=V$17,$E55&gt;=V$16),$C55*NETWORKDAYS(MAX($D55,V$16),MIN($E55,V$17),Libur!$A$2:$A$38)/NETWORKDAYS($D55,$E55,Libur!$A$2:$A$38),0)</f>
        <v>0</v>
      </c>
      <c r="W55" s="53">
        <f>IF(AND($D55&lt;=W$17,$E55&gt;=W$16),$C55*NETWORKDAYS(MAX($D55,W$16),MIN($E55,W$17),Libur!$A$2:$A$38)/NETWORKDAYS($D55,$E55,Libur!$A$2:$A$38),0)</f>
        <v>0</v>
      </c>
      <c r="X55" s="53">
        <f>IF(AND($D55&lt;=X$17,$E55&gt;=X$16),$C55*NETWORKDAYS(MAX($D55,X$16),MIN($E55,X$17),Libur!$A$2:$A$38)/NETWORKDAYS($D55,$E55,Libur!$A$2:$A$38),0)</f>
        <v>0</v>
      </c>
      <c r="Y55" s="53">
        <f>IF(AND($D55&lt;=Y$17,$E55&gt;=Y$16),$C55*NETWORKDAYS(MAX($D55,Y$16),MIN($E55,Y$17),Libur!$A$2:$A$38)/NETWORKDAYS($D55,$E55,Libur!$A$2:$A$38),0)</f>
        <v>0</v>
      </c>
      <c r="Z55" s="53">
        <f>IF(AND($D55&lt;=Z$17,$E55&gt;=Z$16),$C55*NETWORKDAYS(MAX($D55,Z$16),MIN($E55,Z$17),Libur!$A$2:$A$38)/NETWORKDAYS($D55,$E55,Libur!$A$2:$A$38),0)</f>
        <v>0</v>
      </c>
      <c r="AA55" s="53">
        <f>IF(AND($D55&lt;=AA$17,$E55&gt;=AA$16),$C55*NETWORKDAYS(MAX($D55,AA$16),MIN($E55,AA$17),Libur!$A$2:$A$38)/NETWORKDAYS($D55,$E55,Libur!$A$2:$A$38),0)</f>
        <v>0</v>
      </c>
      <c r="AB55" s="53">
        <f>IF(AND($D55&lt;=AB$17,$E55&gt;=AB$16),$C55*NETWORKDAYS(MAX($D55,AB$16),MIN($E55,AB$17),Libur!$A$2:$A$38)/NETWORKDAYS($D55,$E55,Libur!$A$2:$A$38),0)</f>
        <v>0</v>
      </c>
      <c r="AC55" s="53">
        <f>IF(AND($D55&lt;=AC$17,$E55&gt;=AC$16),$C55*NETWORKDAYS(MAX($D55,AC$16),MIN($E55,AC$17),Libur!$A$2:$A$38)/NETWORKDAYS($D55,$E55,Libur!$A$2:$A$38),0)</f>
        <v>0</v>
      </c>
      <c r="AD55" s="53">
        <f>IF(AND($D55&lt;=AD$17,$E55&gt;=AD$16),$C55*NETWORKDAYS(MAX($D55,AD$16),MIN($E55,AD$17),Libur!$A$2:$A$38)/NETWORKDAYS($D55,$E55,Libur!$A$2:$A$38),0)</f>
        <v>0</v>
      </c>
      <c r="AE55" s="53">
        <f>IF(AND($D55&lt;=AE$17,$E55&gt;=AE$16),$C55*NETWORKDAYS(MAX($D55,AE$16),MIN($E55,AE$17),Libur!$A$2:$A$38)/NETWORKDAYS($D55,$E55,Libur!$A$2:$A$38),0)</f>
        <v>0</v>
      </c>
      <c r="AF55" s="53">
        <f>IF(AND($D55&lt;=AF$17,$E55&gt;=AF$16),$C55*NETWORKDAYS(MAX($D55,AF$16),MIN($E55,AF$17),Libur!$A$2:$A$38)/NETWORKDAYS($D55,$E55,Libur!$A$2:$A$38),0)</f>
        <v>0</v>
      </c>
      <c r="AG55" s="53">
        <f>IF(AND($D55&lt;=AG$17,$E55&gt;=AG$16),$C55*NETWORKDAYS(MAX($D55,AG$16),MIN($E55,AG$17),Libur!$A$2:$A$38)/NETWORKDAYS($D55,$E55,Libur!$A$2:$A$38),0)</f>
        <v>0</v>
      </c>
      <c r="AH55" s="53">
        <f>IF(AND($D55&lt;=AH$17,$E55&gt;=AH$16),$C55*NETWORKDAYS(MAX($D55,AH$16),MIN($E55,AH$17),Libur!$A$2:$A$38)/NETWORKDAYS($D55,$E55,Libur!$A$2:$A$38),0)</f>
        <v>0</v>
      </c>
      <c r="AI55" s="53">
        <f>IF(AND($D55&lt;=AI$17,$E55&gt;=AI$16),$C55*NETWORKDAYS(MAX($D55,AI$16),MIN($E55,AI$17),Libur!$A$2:$A$38)/NETWORKDAYS($D55,$E55,Libur!$A$2:$A$38),0)</f>
        <v>0</v>
      </c>
      <c r="AJ55" s="53">
        <f>IF(AND($D55&lt;=AJ$17,$E55&gt;=AJ$16),$C55*NETWORKDAYS(MAX($D55,AJ$16),MIN($E55,AJ$17),Libur!$A$2:$A$38)/NETWORKDAYS($D55,$E55,Libur!$A$2:$A$38),0)</f>
        <v>0</v>
      </c>
      <c r="AK55" s="53">
        <f>IF(AND($D55&lt;=AK$17,$E55&gt;=AK$16),$C55*NETWORKDAYS(MAX($D55,AK$16),MIN($E55,AK$17),Libur!$A$2:$A$38)/NETWORKDAYS($D55,$E55,Libur!$A$2:$A$38),0)</f>
        <v>0</v>
      </c>
      <c r="AL55" s="53">
        <f>IF(AND($D55&lt;=AL$17,$E55&gt;=AL$16),$C55*NETWORKDAYS(MAX($D55,AL$16),MIN($E55,AL$17),Libur!$A$2:$A$38)/NETWORKDAYS($D55,$E55,Libur!$A$2:$A$38),0)</f>
        <v>0</v>
      </c>
      <c r="AM55" s="53">
        <f>IF(AND($D55&lt;=AM$17,$E55&gt;=AM$16),$C55*NETWORKDAYS(MAX($D55,AM$16),MIN($E55,AM$17),Libur!$A$2:$A$38)/NETWORKDAYS($D55,$E55,Libur!$A$2:$A$38),0)</f>
        <v>0</v>
      </c>
      <c r="AN55" s="53">
        <f>IF(AND($D55&lt;=AN$17,$E55&gt;=AN$16),$C55*NETWORKDAYS(MAX($D55,AN$16),MIN($E55,AN$17),Libur!$A$2:$A$38)/NETWORKDAYS($D55,$E55,Libur!$A$2:$A$38),0)</f>
        <v>0</v>
      </c>
      <c r="AO55" s="53">
        <f>IF(AND($D55&lt;=AO$17,$E55&gt;=AO$16),$C55*NETWORKDAYS(MAX($D55,AO$16),MIN($E55,AO$17),Libur!$A$2:$A$38)/NETWORKDAYS($D55,$E55,Libur!$A$2:$A$38),0)</f>
        <v>0</v>
      </c>
      <c r="AP55" s="53">
        <f>IF(AND($D55&lt;=AP$17,$E55&gt;=AP$16),$C55*NETWORKDAYS(MAX($D55,AP$16),MIN($E55,AP$17),Libur!$A$2:$A$38)/NETWORKDAYS($D55,$E55,Libur!$A$2:$A$38),0)</f>
        <v>0</v>
      </c>
      <c r="AQ55" s="53">
        <f>IF(AND($D55&lt;=AQ$17,$E55&gt;=AQ$16),$C55*NETWORKDAYS(MAX($D55,AQ$16),MIN($E55,AQ$17),Libur!$A$2:$A$38)/NETWORKDAYS($D55,$E55,Libur!$A$2:$A$38),0)</f>
        <v>0</v>
      </c>
      <c r="AR55" s="53">
        <f>IF(AND($D55&lt;=AR$17,$E55&gt;=AR$16),$C55*NETWORKDAYS(MAX($D55,AR$16),MIN($E55,AR$17),Libur!$A$2:$A$38)/NETWORKDAYS($D55,$E55,Libur!$A$2:$A$38),0)</f>
        <v>0</v>
      </c>
      <c r="AS55" s="53">
        <f>IF(AND($D55&lt;=AS$17,$E55&gt;=AS$16),$C55*NETWORKDAYS(MAX($D55,AS$16),MIN($E55,AS$17),Libur!$A$2:$A$38)/NETWORKDAYS($D55,$E55,Libur!$A$2:$A$38),0)</f>
        <v>0</v>
      </c>
      <c r="AT55" s="53">
        <f>IF(AND($D55&lt;=AT$17,$E55&gt;=AT$16),$C55*NETWORKDAYS(MAX($D55,AT$16),MIN($E55,AT$17),Libur!$A$2:$A$38)/NETWORKDAYS($D55,$E55,Libur!$A$2:$A$38),0)</f>
        <v>0</v>
      </c>
      <c r="AU55" s="53">
        <f>IF(AND($D55&lt;=AU$17,$E55&gt;=AU$16),$C55*NETWORKDAYS(MAX($D55,AU$16),MIN($E55,AU$17),Libur!$A$2:$A$38)/NETWORKDAYS($D55,$E55,Libur!$A$2:$A$38),0)</f>
        <v>0</v>
      </c>
      <c r="AV55" s="53">
        <f>IF(AND($D55&lt;=AV$17,$E55&gt;=AV$16),$C55*NETWORKDAYS(MAX($D55,AV$16),MIN($E55,AV$17),Libur!$A$2:$A$38)/NETWORKDAYS($D55,$E55,Libur!$A$2:$A$38),0)</f>
        <v>0</v>
      </c>
      <c r="AW55" s="53">
        <f>IF(AND($D55&lt;=AW$17,$E55&gt;=AW$16),$C55*NETWORKDAYS(MAX($D55,AW$16),MIN($E55,AW$17),Libur!$A$2:$A$38)/NETWORKDAYS($D55,$E55,Libur!$A$2:$A$38),0)</f>
        <v>0</v>
      </c>
      <c r="AX55" s="53">
        <f>IF(AND($D55&lt;=AX$17,$E55&gt;=AX$16),$C55*NETWORKDAYS(MAX($D55,AX$16),MIN($E55,AX$17),Libur!$A$2:$A$38)/NETWORKDAYS($D55,$E55,Libur!$A$2:$A$38),0)</f>
        <v>0</v>
      </c>
      <c r="AY55" s="53">
        <f>IF(AND($D55&lt;=AY$17,$E55&gt;=AY$16),$C55*NETWORKDAYS(MAX($D55,AY$16),MIN($E55,AY$17),Libur!$A$2:$A$38)/NETWORKDAYS($D55,$E55,Libur!$A$2:$A$38),0)</f>
        <v>0</v>
      </c>
      <c r="AZ55" s="53">
        <f>IF(AND($D55&lt;=AZ$17,$E55&gt;=AZ$16),$C55*NETWORKDAYS(MAX($D55,AZ$16),MIN($E55,AZ$17),Libur!$A$2:$A$38)/NETWORKDAYS($D55,$E55,Libur!$A$2:$A$38),0)</f>
        <v>0</v>
      </c>
      <c r="BA55" s="53">
        <f>IF(AND($D55&lt;=BA$17,$E55&gt;=BA$16),$C55*NETWORKDAYS(MAX($D55,BA$16),MIN($E55,BA$17),Libur!$A$2:$A$38)/NETWORKDAYS($D55,$E55,Libur!$A$2:$A$38),0)</f>
        <v>0</v>
      </c>
      <c r="BB55" s="53">
        <f>IF(AND($D55&lt;=BB$17,$E55&gt;=BB$16),$C55*NETWORKDAYS(MAX($D55,BB$16),MIN($E55,BB$17),Libur!$A$2:$A$38)/NETWORKDAYS($D55,$E55,Libur!$A$2:$A$38),0)</f>
        <v>0</v>
      </c>
      <c r="BC55" s="53">
        <f>IF(AND($D55&lt;=BC$17,$E55&gt;=BC$16),$C55*NETWORKDAYS(MAX($D55,BC$16),MIN($E55,BC$17),Libur!$A$2:$A$38)/NETWORKDAYS($D55,$E55,Libur!$A$2:$A$38),0)</f>
        <v>0</v>
      </c>
      <c r="BD55" s="53">
        <f>IF(AND($D55&lt;=BD$17,$E55&gt;=BD$16),$C55*NETWORKDAYS(MAX($D55,BD$16),MIN($E55,BD$17),Libur!$A$2:$A$38)/NETWORKDAYS($D55,$E55,Libur!$A$2:$A$38),0)</f>
        <v>0</v>
      </c>
      <c r="BE55" s="53">
        <f>IF(AND($D55&lt;=BE$17,$E55&gt;=BE$16),$C55*NETWORKDAYS(MAX($D55,BE$16),MIN($E55,BE$17),Libur!$A$2:$A$38)/NETWORKDAYS($D55,$E55,Libur!$A$2:$A$38),0)</f>
        <v>0</v>
      </c>
      <c r="BF55" s="53">
        <f>IF(AND($D55&lt;=BF$17,$E55&gt;=BF$16),$C55*NETWORKDAYS(MAX($D55,BF$16),MIN($E55,BF$17),Libur!$A$2:$A$38)/NETWORKDAYS($D55,$E55,Libur!$A$2:$A$38),0)</f>
        <v>0</v>
      </c>
      <c r="BG55" s="53">
        <f>IF(AND($D55&lt;=BG$17,$E55&gt;=BG$16),$C55*NETWORKDAYS(MAX($D55,BG$16),MIN($E55,BG$17),Libur!$A$2:$A$38)/NETWORKDAYS($D55,$E55,Libur!$A$2:$A$38),0)</f>
        <v>0</v>
      </c>
      <c r="BH55" s="53">
        <f>IF(AND($D55&lt;=BH$17,$E55&gt;=BH$16),$C55*NETWORKDAYS(MAX($D55,BH$16),MIN($E55,BH$17),Libur!$A$2:$A$38)/NETWORKDAYS($D55,$E55,Libur!$A$2:$A$38),0)</f>
        <v>0</v>
      </c>
      <c r="BI55" s="53">
        <f>IF(AND($D55&lt;=BI$17,$E55&gt;=BI$16),$C55*NETWORKDAYS(MAX($D55,BI$16),MIN($E55,BI$17),Libur!$A$2:$A$38)/NETWORKDAYS($D55,$E55,Libur!$A$2:$A$38),0)</f>
        <v>0</v>
      </c>
      <c r="BJ55" s="53">
        <f>IF(AND($D55&lt;=BJ$17,$E55&gt;=BJ$16),$C55*NETWORKDAYS(MAX($D55,BJ$16),MIN($E55,BJ$17),Libur!$A$2:$A$38)/NETWORKDAYS($D55,$E55,Libur!$A$2:$A$38),0)</f>
        <v>0</v>
      </c>
      <c r="BK55" s="53">
        <f>IF(AND($D55&lt;=BK$17,$E55&gt;=BK$16),$C55*NETWORKDAYS(MAX($D55,BK$16),MIN($E55,BK$17),Libur!$A$2:$A$38)/NETWORKDAYS($D55,$E55,Libur!$A$2:$A$38),0)</f>
        <v>0</v>
      </c>
    </row>
    <row r="56" spans="1:63" s="9" customFormat="1" x14ac:dyDescent="0.25">
      <c r="A56" s="36" t="s">
        <v>105</v>
      </c>
      <c r="B56" s="9" t="s">
        <v>106</v>
      </c>
      <c r="C56" s="37">
        <f>SUM(C57:C59)</f>
        <v>0.06</v>
      </c>
      <c r="D56" s="56">
        <f>MIN(D57:D58)</f>
        <v>46255</v>
      </c>
      <c r="E56" s="56">
        <f>MAX(E57:E58)</f>
        <v>46261</v>
      </c>
      <c r="F56" s="48"/>
      <c r="G56" s="48"/>
      <c r="H56" s="40">
        <f>NETWORKDAYS(D56,E56,Hari_Libur)</f>
        <v>4</v>
      </c>
      <c r="I56" s="41">
        <f>IF(C56=0,0,J56/C56)</f>
        <v>0</v>
      </c>
      <c r="J56" s="41">
        <f>SUM(J57:J58)</f>
        <v>0</v>
      </c>
      <c r="K56" s="41">
        <f>IF(C56=0,0,L56/C56)</f>
        <v>0</v>
      </c>
      <c r="L56" s="41">
        <f>SUM(L57:L58)</f>
        <v>0</v>
      </c>
      <c r="M56" s="41">
        <f>SUM(M57:M58)</f>
        <v>0</v>
      </c>
      <c r="N56" s="51"/>
      <c r="O56" s="52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</row>
    <row r="57" spans="1:63" x14ac:dyDescent="0.25">
      <c r="A57" s="45"/>
      <c r="B57" s="46" t="s">
        <v>107</v>
      </c>
      <c r="C57" s="48">
        <v>0.03</v>
      </c>
      <c r="D57" s="47">
        <v>46255</v>
      </c>
      <c r="E57" s="47">
        <v>46258</v>
      </c>
      <c r="F57" s="7">
        <f>C57</f>
        <v>0.03</v>
      </c>
      <c r="G57" s="48">
        <f>SUM(P57:AZ57)</f>
        <v>0.03</v>
      </c>
      <c r="H57" s="49">
        <f>NETWORKDAYS(D57,E57,Hari_Libur)</f>
        <v>2</v>
      </c>
      <c r="I57" s="50">
        <f>IF($C$8&gt;=E57,1,IF($C$8&lt;D57,0,IF(NETWORKDAYS(D57,E57,Hari_Libur)=0,0,NETWORKDAYS(D57,$C$8,Hari_Libur)/NETWORKDAYS(D57,E57,Hari_Libur))))</f>
        <v>0</v>
      </c>
      <c r="J57" s="50">
        <f>I57*F57</f>
        <v>0</v>
      </c>
      <c r="K57" s="50">
        <v>0</v>
      </c>
      <c r="L57" s="50">
        <f>C57*K57</f>
        <v>0</v>
      </c>
      <c r="M57" s="50">
        <f>L57-J57</f>
        <v>0</v>
      </c>
      <c r="N57" s="51">
        <f>C57</f>
        <v>0.03</v>
      </c>
      <c r="O57" s="52">
        <f>SUM(P57:BK57)</f>
        <v>0.03</v>
      </c>
      <c r="P57" s="53">
        <f t="shared" ref="P57:Y58" si="42">IF(AND($D57&lt;=P$17,$E57&gt;=P$16),$C57*NETWORKDAYS(MAX($D57,P$16),MIN($E57,P$17),Hari_Libur)/NETWORKDAYS($D57,$E57,Hari_Libur),0)</f>
        <v>0</v>
      </c>
      <c r="Q57" s="53">
        <f t="shared" si="42"/>
        <v>0</v>
      </c>
      <c r="R57" s="53">
        <f t="shared" si="42"/>
        <v>0</v>
      </c>
      <c r="S57" s="53">
        <f t="shared" si="42"/>
        <v>0</v>
      </c>
      <c r="T57" s="53">
        <f t="shared" si="42"/>
        <v>0</v>
      </c>
      <c r="U57" s="53">
        <f t="shared" si="42"/>
        <v>0</v>
      </c>
      <c r="V57" s="53">
        <f t="shared" si="42"/>
        <v>0</v>
      </c>
      <c r="W57" s="53">
        <f t="shared" si="42"/>
        <v>0</v>
      </c>
      <c r="X57" s="53">
        <f t="shared" si="42"/>
        <v>0</v>
      </c>
      <c r="Y57" s="53">
        <f t="shared" si="42"/>
        <v>0</v>
      </c>
      <c r="Z57" s="53">
        <f t="shared" ref="Z57:AI58" si="43">IF(AND($D57&lt;=Z$17,$E57&gt;=Z$16),$C57*NETWORKDAYS(MAX($D57,Z$16),MIN($E57,Z$17),Hari_Libur)/NETWORKDAYS($D57,$E57,Hari_Libur),0)</f>
        <v>0</v>
      </c>
      <c r="AA57" s="53">
        <f t="shared" si="43"/>
        <v>0</v>
      </c>
      <c r="AB57" s="53">
        <f t="shared" si="43"/>
        <v>0</v>
      </c>
      <c r="AC57" s="53">
        <f t="shared" si="43"/>
        <v>0</v>
      </c>
      <c r="AD57" s="53">
        <f t="shared" si="43"/>
        <v>0</v>
      </c>
      <c r="AE57" s="53">
        <f t="shared" si="43"/>
        <v>0.03</v>
      </c>
      <c r="AF57" s="53">
        <f t="shared" si="43"/>
        <v>0</v>
      </c>
      <c r="AG57" s="53">
        <f t="shared" si="43"/>
        <v>0</v>
      </c>
      <c r="AH57" s="53">
        <f t="shared" si="43"/>
        <v>0</v>
      </c>
      <c r="AI57" s="53">
        <f t="shared" si="43"/>
        <v>0</v>
      </c>
      <c r="AJ57" s="53">
        <f t="shared" ref="AJ57:AS58" si="44">IF(AND($D57&lt;=AJ$17,$E57&gt;=AJ$16),$C57*NETWORKDAYS(MAX($D57,AJ$16),MIN($E57,AJ$17),Hari_Libur)/NETWORKDAYS($D57,$E57,Hari_Libur),0)</f>
        <v>0</v>
      </c>
      <c r="AK57" s="53">
        <f t="shared" si="44"/>
        <v>0</v>
      </c>
      <c r="AL57" s="53">
        <f t="shared" si="44"/>
        <v>0</v>
      </c>
      <c r="AM57" s="53">
        <f t="shared" si="44"/>
        <v>0</v>
      </c>
      <c r="AN57" s="53">
        <f t="shared" si="44"/>
        <v>0</v>
      </c>
      <c r="AO57" s="53">
        <f t="shared" si="44"/>
        <v>0</v>
      </c>
      <c r="AP57" s="53">
        <f t="shared" si="44"/>
        <v>0</v>
      </c>
      <c r="AQ57" s="53">
        <f t="shared" si="44"/>
        <v>0</v>
      </c>
      <c r="AR57" s="53">
        <f t="shared" si="44"/>
        <v>0</v>
      </c>
      <c r="AS57" s="53">
        <f t="shared" si="44"/>
        <v>0</v>
      </c>
      <c r="AT57" s="53">
        <f t="shared" ref="AT57:BC58" si="45">IF(AND($D57&lt;=AT$17,$E57&gt;=AT$16),$C57*NETWORKDAYS(MAX($D57,AT$16),MIN($E57,AT$17),Hari_Libur)/NETWORKDAYS($D57,$E57,Hari_Libur),0)</f>
        <v>0</v>
      </c>
      <c r="AU57" s="53">
        <f t="shared" si="45"/>
        <v>0</v>
      </c>
      <c r="AV57" s="53">
        <f t="shared" si="45"/>
        <v>0</v>
      </c>
      <c r="AW57" s="53">
        <f t="shared" si="45"/>
        <v>0</v>
      </c>
      <c r="AX57" s="53">
        <f t="shared" si="45"/>
        <v>0</v>
      </c>
      <c r="AY57" s="53">
        <f t="shared" si="45"/>
        <v>0</v>
      </c>
      <c r="AZ57" s="53">
        <f t="shared" si="45"/>
        <v>0</v>
      </c>
      <c r="BA57" s="53">
        <f t="shared" si="45"/>
        <v>0</v>
      </c>
      <c r="BB57" s="53">
        <f t="shared" si="45"/>
        <v>0</v>
      </c>
      <c r="BC57" s="53">
        <f t="shared" si="45"/>
        <v>0</v>
      </c>
      <c r="BD57" s="53">
        <f t="shared" ref="BD57:BK58" si="46">IF(AND($D57&lt;=BD$17,$E57&gt;=BD$16),$C57*NETWORKDAYS(MAX($D57,BD$16),MIN($E57,BD$17),Hari_Libur)/NETWORKDAYS($D57,$E57,Hari_Libur),0)</f>
        <v>0</v>
      </c>
      <c r="BE57" s="53">
        <f t="shared" si="46"/>
        <v>0</v>
      </c>
      <c r="BF57" s="53">
        <f t="shared" si="46"/>
        <v>0</v>
      </c>
      <c r="BG57" s="53">
        <f t="shared" si="46"/>
        <v>0</v>
      </c>
      <c r="BH57" s="53">
        <f t="shared" si="46"/>
        <v>0</v>
      </c>
      <c r="BI57" s="53">
        <f t="shared" si="46"/>
        <v>0</v>
      </c>
      <c r="BJ57" s="53">
        <f t="shared" si="46"/>
        <v>0</v>
      </c>
      <c r="BK57" s="53">
        <f t="shared" si="46"/>
        <v>0</v>
      </c>
    </row>
    <row r="58" spans="1:63" x14ac:dyDescent="0.25">
      <c r="A58" s="45"/>
      <c r="B58" s="46" t="s">
        <v>108</v>
      </c>
      <c r="C58" s="48">
        <v>0.03</v>
      </c>
      <c r="D58" s="47">
        <v>46259</v>
      </c>
      <c r="E58" s="47">
        <v>46261</v>
      </c>
      <c r="F58" s="7">
        <f>C58</f>
        <v>0.03</v>
      </c>
      <c r="G58" s="48">
        <f>SUM(P58:AZ58)</f>
        <v>0.03</v>
      </c>
      <c r="H58" s="49">
        <f>NETWORKDAYS(D58,E58,Hari_Libur)</f>
        <v>2</v>
      </c>
      <c r="I58" s="50">
        <f>IF($C$8&gt;=E58,1,IF($C$8&lt;D58,0,IF(NETWORKDAYS(D58,E58,Hari_Libur)=0,0,NETWORKDAYS(D58,$C$8,Hari_Libur)/NETWORKDAYS(D58,E58,Hari_Libur))))</f>
        <v>0</v>
      </c>
      <c r="J58" s="50">
        <f>I58*F58</f>
        <v>0</v>
      </c>
      <c r="K58" s="50">
        <v>0</v>
      </c>
      <c r="L58" s="50">
        <f>C58*K58</f>
        <v>0</v>
      </c>
      <c r="M58" s="50">
        <f>L58-J58</f>
        <v>0</v>
      </c>
      <c r="N58" s="51">
        <f>C58</f>
        <v>0.03</v>
      </c>
      <c r="O58" s="52">
        <f>SUM(P58:BK58)</f>
        <v>0.03</v>
      </c>
      <c r="P58" s="53">
        <f t="shared" si="42"/>
        <v>0</v>
      </c>
      <c r="Q58" s="53">
        <f t="shared" si="42"/>
        <v>0</v>
      </c>
      <c r="R58" s="53">
        <f t="shared" si="42"/>
        <v>0</v>
      </c>
      <c r="S58" s="53">
        <f t="shared" si="42"/>
        <v>0</v>
      </c>
      <c r="T58" s="53">
        <f t="shared" si="42"/>
        <v>0</v>
      </c>
      <c r="U58" s="53">
        <f t="shared" si="42"/>
        <v>0</v>
      </c>
      <c r="V58" s="53">
        <f t="shared" si="42"/>
        <v>0</v>
      </c>
      <c r="W58" s="53">
        <f t="shared" si="42"/>
        <v>0</v>
      </c>
      <c r="X58" s="53">
        <f t="shared" si="42"/>
        <v>0</v>
      </c>
      <c r="Y58" s="53">
        <f t="shared" si="42"/>
        <v>0</v>
      </c>
      <c r="Z58" s="53">
        <f t="shared" si="43"/>
        <v>0</v>
      </c>
      <c r="AA58" s="53">
        <f t="shared" si="43"/>
        <v>0</v>
      </c>
      <c r="AB58" s="53">
        <f t="shared" si="43"/>
        <v>0</v>
      </c>
      <c r="AC58" s="53">
        <f t="shared" si="43"/>
        <v>0</v>
      </c>
      <c r="AD58" s="53">
        <f t="shared" si="43"/>
        <v>0</v>
      </c>
      <c r="AE58" s="53">
        <f t="shared" si="43"/>
        <v>0.03</v>
      </c>
      <c r="AF58" s="53">
        <f t="shared" si="43"/>
        <v>0</v>
      </c>
      <c r="AG58" s="53">
        <f t="shared" si="43"/>
        <v>0</v>
      </c>
      <c r="AH58" s="53">
        <f t="shared" si="43"/>
        <v>0</v>
      </c>
      <c r="AI58" s="53">
        <f t="shared" si="43"/>
        <v>0</v>
      </c>
      <c r="AJ58" s="53">
        <f t="shared" si="44"/>
        <v>0</v>
      </c>
      <c r="AK58" s="53">
        <f t="shared" si="44"/>
        <v>0</v>
      </c>
      <c r="AL58" s="53">
        <f t="shared" si="44"/>
        <v>0</v>
      </c>
      <c r="AM58" s="53">
        <f t="shared" si="44"/>
        <v>0</v>
      </c>
      <c r="AN58" s="53">
        <f t="shared" si="44"/>
        <v>0</v>
      </c>
      <c r="AO58" s="53">
        <f t="shared" si="44"/>
        <v>0</v>
      </c>
      <c r="AP58" s="53">
        <f t="shared" si="44"/>
        <v>0</v>
      </c>
      <c r="AQ58" s="53">
        <f t="shared" si="44"/>
        <v>0</v>
      </c>
      <c r="AR58" s="53">
        <f t="shared" si="44"/>
        <v>0</v>
      </c>
      <c r="AS58" s="53">
        <f t="shared" si="44"/>
        <v>0</v>
      </c>
      <c r="AT58" s="53">
        <f t="shared" si="45"/>
        <v>0</v>
      </c>
      <c r="AU58" s="53">
        <f t="shared" si="45"/>
        <v>0</v>
      </c>
      <c r="AV58" s="53">
        <f t="shared" si="45"/>
        <v>0</v>
      </c>
      <c r="AW58" s="53">
        <f t="shared" si="45"/>
        <v>0</v>
      </c>
      <c r="AX58" s="53">
        <f t="shared" si="45"/>
        <v>0</v>
      </c>
      <c r="AY58" s="53">
        <f t="shared" si="45"/>
        <v>0</v>
      </c>
      <c r="AZ58" s="53">
        <f t="shared" si="45"/>
        <v>0</v>
      </c>
      <c r="BA58" s="53">
        <f t="shared" si="45"/>
        <v>0</v>
      </c>
      <c r="BB58" s="53">
        <f t="shared" si="45"/>
        <v>0</v>
      </c>
      <c r="BC58" s="53">
        <f t="shared" si="45"/>
        <v>0</v>
      </c>
      <c r="BD58" s="53">
        <f t="shared" si="46"/>
        <v>0</v>
      </c>
      <c r="BE58" s="53">
        <f t="shared" si="46"/>
        <v>0</v>
      </c>
      <c r="BF58" s="53">
        <f t="shared" si="46"/>
        <v>0</v>
      </c>
      <c r="BG58" s="53">
        <f t="shared" si="46"/>
        <v>0</v>
      </c>
      <c r="BH58" s="53">
        <f t="shared" si="46"/>
        <v>0</v>
      </c>
      <c r="BI58" s="53">
        <f t="shared" si="46"/>
        <v>0</v>
      </c>
      <c r="BJ58" s="53">
        <f t="shared" si="46"/>
        <v>0</v>
      </c>
      <c r="BK58" s="53">
        <f t="shared" si="46"/>
        <v>0</v>
      </c>
    </row>
    <row r="59" spans="1:63" x14ac:dyDescent="0.25">
      <c r="A59" s="45"/>
      <c r="B59" s="46"/>
      <c r="C59" s="48"/>
      <c r="D59" s="47"/>
      <c r="E59" s="47"/>
      <c r="F59" s="7"/>
      <c r="G59" s="48"/>
      <c r="H59" s="49"/>
      <c r="I59" s="48"/>
      <c r="J59" s="48"/>
      <c r="K59" s="48"/>
      <c r="L59" s="48"/>
      <c r="M59" s="48"/>
      <c r="N59" s="51"/>
      <c r="O59" s="52"/>
      <c r="P59" s="53">
        <f>IF(AND($D59&lt;=P$17,$E59&gt;=P$16),$C59*NETWORKDAYS(MAX($D59,P$16),MIN($E59,P$17),Libur!$A$2:$A$38)/NETWORKDAYS($D59,$E59,Libur!$A$2:$A$38),0)</f>
        <v>0</v>
      </c>
      <c r="Q59" s="53">
        <f>IF(AND($D59&lt;=Q$17,$E59&gt;=Q$16),$C59*NETWORKDAYS(MAX($D59,Q$16),MIN($E59,Q$17),Libur!$A$2:$A$38)/NETWORKDAYS($D59,$E59,Libur!$A$2:$A$38),0)</f>
        <v>0</v>
      </c>
      <c r="R59" s="53">
        <f>IF(AND($D59&lt;=R$17,$E59&gt;=R$16),$C59*NETWORKDAYS(MAX($D59,R$16),MIN($E59,R$17),Libur!$A$2:$A$38)/NETWORKDAYS($D59,$E59,Libur!$A$2:$A$38),0)</f>
        <v>0</v>
      </c>
      <c r="S59" s="53">
        <f>IF(AND($D59&lt;=S$17,$E59&gt;=S$16),$C59*NETWORKDAYS(MAX($D59,S$16),MIN($E59,S$17),Libur!$A$2:$A$38)/NETWORKDAYS($D59,$E59,Libur!$A$2:$A$38),0)</f>
        <v>0</v>
      </c>
      <c r="T59" s="53">
        <f>IF(AND($D59&lt;=T$17,$E59&gt;=T$16),$C59*NETWORKDAYS(MAX($D59,T$16),MIN($E59,T$17),Libur!$A$2:$A$38)/NETWORKDAYS($D59,$E59,Libur!$A$2:$A$38),0)</f>
        <v>0</v>
      </c>
      <c r="U59" s="53">
        <f>IF(AND($D59&lt;=U$17,$E59&gt;=U$16),$C59*NETWORKDAYS(MAX($D59,U$16),MIN($E59,U$17),Libur!$A$2:$A$38)/NETWORKDAYS($D59,$E59,Libur!$A$2:$A$38),0)</f>
        <v>0</v>
      </c>
      <c r="V59" s="53">
        <f>IF(AND($D59&lt;=V$17,$E59&gt;=V$16),$C59*NETWORKDAYS(MAX($D59,V$16),MIN($E59,V$17),Libur!$A$2:$A$38)/NETWORKDAYS($D59,$E59,Libur!$A$2:$A$38),0)</f>
        <v>0</v>
      </c>
      <c r="W59" s="53">
        <f>IF(AND($D59&lt;=W$17,$E59&gt;=W$16),$C59*NETWORKDAYS(MAX($D59,W$16),MIN($E59,W$17),Libur!$A$2:$A$38)/NETWORKDAYS($D59,$E59,Libur!$A$2:$A$38),0)</f>
        <v>0</v>
      </c>
      <c r="X59" s="53">
        <f>IF(AND($D59&lt;=X$17,$E59&gt;=X$16),$C59*NETWORKDAYS(MAX($D59,X$16),MIN($E59,X$17),Libur!$A$2:$A$38)/NETWORKDAYS($D59,$E59,Libur!$A$2:$A$38),0)</f>
        <v>0</v>
      </c>
      <c r="Y59" s="53">
        <f>IF(AND($D59&lt;=Y$17,$E59&gt;=Y$16),$C59*NETWORKDAYS(MAX($D59,Y$16),MIN($E59,Y$17),Libur!$A$2:$A$38)/NETWORKDAYS($D59,$E59,Libur!$A$2:$A$38),0)</f>
        <v>0</v>
      </c>
      <c r="Z59" s="53">
        <f>IF(AND($D59&lt;=Z$17,$E59&gt;=Z$16),$C59*NETWORKDAYS(MAX($D59,Z$16),MIN($E59,Z$17),Libur!$A$2:$A$38)/NETWORKDAYS($D59,$E59,Libur!$A$2:$A$38),0)</f>
        <v>0</v>
      </c>
      <c r="AA59" s="53">
        <f>IF(AND($D59&lt;=AA$17,$E59&gt;=AA$16),$C59*NETWORKDAYS(MAX($D59,AA$16),MIN($E59,AA$17),Libur!$A$2:$A$38)/NETWORKDAYS($D59,$E59,Libur!$A$2:$A$38),0)</f>
        <v>0</v>
      </c>
      <c r="AB59" s="53">
        <f>IF(AND($D59&lt;=AB$17,$E59&gt;=AB$16),$C59*NETWORKDAYS(MAX($D59,AB$16),MIN($E59,AB$17),Libur!$A$2:$A$38)/NETWORKDAYS($D59,$E59,Libur!$A$2:$A$38),0)</f>
        <v>0</v>
      </c>
      <c r="AC59" s="53">
        <f>IF(AND($D59&lt;=AC$17,$E59&gt;=AC$16),$C59*NETWORKDAYS(MAX($D59,AC$16),MIN($E59,AC$17),Libur!$A$2:$A$38)/NETWORKDAYS($D59,$E59,Libur!$A$2:$A$38),0)</f>
        <v>0</v>
      </c>
      <c r="AD59" s="53">
        <f>IF(AND($D59&lt;=AD$17,$E59&gt;=AD$16),$C59*NETWORKDAYS(MAX($D59,AD$16),MIN($E59,AD$17),Libur!$A$2:$A$38)/NETWORKDAYS($D59,$E59,Libur!$A$2:$A$38),0)</f>
        <v>0</v>
      </c>
      <c r="AE59" s="53">
        <f>IF(AND($D59&lt;=AE$17,$E59&gt;=AE$16),$C59*NETWORKDAYS(MAX($D59,AE$16),MIN($E59,AE$17),Libur!$A$2:$A$38)/NETWORKDAYS($D59,$E59,Libur!$A$2:$A$38),0)</f>
        <v>0</v>
      </c>
      <c r="AF59" s="53">
        <f>IF(AND($D59&lt;=AF$17,$E59&gt;=AF$16),$C59*NETWORKDAYS(MAX($D59,AF$16),MIN($E59,AF$17),Libur!$A$2:$A$38)/NETWORKDAYS($D59,$E59,Libur!$A$2:$A$38),0)</f>
        <v>0</v>
      </c>
      <c r="AG59" s="53">
        <f>IF(AND($D59&lt;=AG$17,$E59&gt;=AG$16),$C59*NETWORKDAYS(MAX($D59,AG$16),MIN($E59,AG$17),Libur!$A$2:$A$38)/NETWORKDAYS($D59,$E59,Libur!$A$2:$A$38),0)</f>
        <v>0</v>
      </c>
      <c r="AH59" s="53">
        <f>IF(AND($D59&lt;=AH$17,$E59&gt;=AH$16),$C59*NETWORKDAYS(MAX($D59,AH$16),MIN($E59,AH$17),Libur!$A$2:$A$38)/NETWORKDAYS($D59,$E59,Libur!$A$2:$A$38),0)</f>
        <v>0</v>
      </c>
      <c r="AI59" s="53">
        <f>IF(AND($D59&lt;=AI$17,$E59&gt;=AI$16),$C59*NETWORKDAYS(MAX($D59,AI$16),MIN($E59,AI$17),Libur!$A$2:$A$38)/NETWORKDAYS($D59,$E59,Libur!$A$2:$A$38),0)</f>
        <v>0</v>
      </c>
      <c r="AJ59" s="53">
        <f>IF(AND($D59&lt;=AJ$17,$E59&gt;=AJ$16),$C59*NETWORKDAYS(MAX($D59,AJ$16),MIN($E59,AJ$17),Libur!$A$2:$A$38)/NETWORKDAYS($D59,$E59,Libur!$A$2:$A$38),0)</f>
        <v>0</v>
      </c>
      <c r="AK59" s="53">
        <f>IF(AND($D59&lt;=AK$17,$E59&gt;=AK$16),$C59*NETWORKDAYS(MAX($D59,AK$16),MIN($E59,AK$17),Libur!$A$2:$A$38)/NETWORKDAYS($D59,$E59,Libur!$A$2:$A$38),0)</f>
        <v>0</v>
      </c>
      <c r="AL59" s="53">
        <f>IF(AND($D59&lt;=AL$17,$E59&gt;=AL$16),$C59*NETWORKDAYS(MAX($D59,AL$16),MIN($E59,AL$17),Libur!$A$2:$A$38)/NETWORKDAYS($D59,$E59,Libur!$A$2:$A$38),0)</f>
        <v>0</v>
      </c>
      <c r="AM59" s="53">
        <f>IF(AND($D59&lt;=AM$17,$E59&gt;=AM$16),$C59*NETWORKDAYS(MAX($D59,AM$16),MIN($E59,AM$17),Libur!$A$2:$A$38)/NETWORKDAYS($D59,$E59,Libur!$A$2:$A$38),0)</f>
        <v>0</v>
      </c>
      <c r="AN59" s="53">
        <f>IF(AND($D59&lt;=AN$17,$E59&gt;=AN$16),$C59*NETWORKDAYS(MAX($D59,AN$16),MIN($E59,AN$17),Libur!$A$2:$A$38)/NETWORKDAYS($D59,$E59,Libur!$A$2:$A$38),0)</f>
        <v>0</v>
      </c>
      <c r="AO59" s="53">
        <f>IF(AND($D59&lt;=AO$17,$E59&gt;=AO$16),$C59*NETWORKDAYS(MAX($D59,AO$16),MIN($E59,AO$17),Libur!$A$2:$A$38)/NETWORKDAYS($D59,$E59,Libur!$A$2:$A$38),0)</f>
        <v>0</v>
      </c>
      <c r="AP59" s="53">
        <f>IF(AND($D59&lt;=AP$17,$E59&gt;=AP$16),$C59*NETWORKDAYS(MAX($D59,AP$16),MIN($E59,AP$17),Libur!$A$2:$A$38)/NETWORKDAYS($D59,$E59,Libur!$A$2:$A$38),0)</f>
        <v>0</v>
      </c>
      <c r="AQ59" s="53">
        <f>IF(AND($D59&lt;=AQ$17,$E59&gt;=AQ$16),$C59*NETWORKDAYS(MAX($D59,AQ$16),MIN($E59,AQ$17),Libur!$A$2:$A$38)/NETWORKDAYS($D59,$E59,Libur!$A$2:$A$38),0)</f>
        <v>0</v>
      </c>
      <c r="AR59" s="53">
        <f>IF(AND($D59&lt;=AR$17,$E59&gt;=AR$16),$C59*NETWORKDAYS(MAX($D59,AR$16),MIN($E59,AR$17),Libur!$A$2:$A$38)/NETWORKDAYS($D59,$E59,Libur!$A$2:$A$38),0)</f>
        <v>0</v>
      </c>
      <c r="AS59" s="53">
        <f>IF(AND($D59&lt;=AS$17,$E59&gt;=AS$16),$C59*NETWORKDAYS(MAX($D59,AS$16),MIN($E59,AS$17),Libur!$A$2:$A$38)/NETWORKDAYS($D59,$E59,Libur!$A$2:$A$38),0)</f>
        <v>0</v>
      </c>
      <c r="AT59" s="53">
        <f>IF(AND($D59&lt;=AT$17,$E59&gt;=AT$16),$C59*NETWORKDAYS(MAX($D59,AT$16),MIN($E59,AT$17),Libur!$A$2:$A$38)/NETWORKDAYS($D59,$E59,Libur!$A$2:$A$38),0)</f>
        <v>0</v>
      </c>
      <c r="AU59" s="53">
        <f>IF(AND($D59&lt;=AU$17,$E59&gt;=AU$16),$C59*NETWORKDAYS(MAX($D59,AU$16),MIN($E59,AU$17),Libur!$A$2:$A$38)/NETWORKDAYS($D59,$E59,Libur!$A$2:$A$38),0)</f>
        <v>0</v>
      </c>
      <c r="AV59" s="53">
        <f>IF(AND($D59&lt;=AV$17,$E59&gt;=AV$16),$C59*NETWORKDAYS(MAX($D59,AV$16),MIN($E59,AV$17),Libur!$A$2:$A$38)/NETWORKDAYS($D59,$E59,Libur!$A$2:$A$38),0)</f>
        <v>0</v>
      </c>
      <c r="AW59" s="53">
        <f>IF(AND($D59&lt;=AW$17,$E59&gt;=AW$16),$C59*NETWORKDAYS(MAX($D59,AW$16),MIN($E59,AW$17),Libur!$A$2:$A$38)/NETWORKDAYS($D59,$E59,Libur!$A$2:$A$38),0)</f>
        <v>0</v>
      </c>
      <c r="AX59" s="53">
        <f>IF(AND($D59&lt;=AX$17,$E59&gt;=AX$16),$C59*NETWORKDAYS(MAX($D59,AX$16),MIN($E59,AX$17),Libur!$A$2:$A$38)/NETWORKDAYS($D59,$E59,Libur!$A$2:$A$38),0)</f>
        <v>0</v>
      </c>
      <c r="AY59" s="53">
        <f>IF(AND($D59&lt;=AY$17,$E59&gt;=AY$16),$C59*NETWORKDAYS(MAX($D59,AY$16),MIN($E59,AY$17),Libur!$A$2:$A$38)/NETWORKDAYS($D59,$E59,Libur!$A$2:$A$38),0)</f>
        <v>0</v>
      </c>
      <c r="AZ59" s="53">
        <f>IF(AND($D59&lt;=AZ$17,$E59&gt;=AZ$16),$C59*NETWORKDAYS(MAX($D59,AZ$16),MIN($E59,AZ$17),Libur!$A$2:$A$38)/NETWORKDAYS($D59,$E59,Libur!$A$2:$A$38),0)</f>
        <v>0</v>
      </c>
      <c r="BA59" s="53">
        <f>IF(AND($D59&lt;=BA$17,$E59&gt;=BA$16),$C59*NETWORKDAYS(MAX($D59,BA$16),MIN($E59,BA$17),Libur!$A$2:$A$38)/NETWORKDAYS($D59,$E59,Libur!$A$2:$A$38),0)</f>
        <v>0</v>
      </c>
      <c r="BB59" s="53">
        <f>IF(AND($D59&lt;=BB$17,$E59&gt;=BB$16),$C59*NETWORKDAYS(MAX($D59,BB$16),MIN($E59,BB$17),Libur!$A$2:$A$38)/NETWORKDAYS($D59,$E59,Libur!$A$2:$A$38),0)</f>
        <v>0</v>
      </c>
      <c r="BC59" s="53">
        <f>IF(AND($D59&lt;=BC$17,$E59&gt;=BC$16),$C59*NETWORKDAYS(MAX($D59,BC$16),MIN($E59,BC$17),Libur!$A$2:$A$38)/NETWORKDAYS($D59,$E59,Libur!$A$2:$A$38),0)</f>
        <v>0</v>
      </c>
      <c r="BD59" s="53">
        <f>IF(AND($D59&lt;=BD$17,$E59&gt;=BD$16),$C59*NETWORKDAYS(MAX($D59,BD$16),MIN($E59,BD$17),Libur!$A$2:$A$38)/NETWORKDAYS($D59,$E59,Libur!$A$2:$A$38),0)</f>
        <v>0</v>
      </c>
      <c r="BE59" s="53">
        <f>IF(AND($D59&lt;=BE$17,$E59&gt;=BE$16),$C59*NETWORKDAYS(MAX($D59,BE$16),MIN($E59,BE$17),Libur!$A$2:$A$38)/NETWORKDAYS($D59,$E59,Libur!$A$2:$A$38),0)</f>
        <v>0</v>
      </c>
      <c r="BF59" s="53">
        <f>IF(AND($D59&lt;=BF$17,$E59&gt;=BF$16),$C59*NETWORKDAYS(MAX($D59,BF$16),MIN($E59,BF$17),Libur!$A$2:$A$38)/NETWORKDAYS($D59,$E59,Libur!$A$2:$A$38),0)</f>
        <v>0</v>
      </c>
      <c r="BG59" s="53">
        <f>IF(AND($D59&lt;=BG$17,$E59&gt;=BG$16),$C59*NETWORKDAYS(MAX($D59,BG$16),MIN($E59,BG$17),Libur!$A$2:$A$38)/NETWORKDAYS($D59,$E59,Libur!$A$2:$A$38),0)</f>
        <v>0</v>
      </c>
      <c r="BH59" s="53">
        <f>IF(AND($D59&lt;=BH$17,$E59&gt;=BH$16),$C59*NETWORKDAYS(MAX($D59,BH$16),MIN($E59,BH$17),Libur!$A$2:$A$38)/NETWORKDAYS($D59,$E59,Libur!$A$2:$A$38),0)</f>
        <v>0</v>
      </c>
      <c r="BI59" s="53">
        <f>IF(AND($D59&lt;=BI$17,$E59&gt;=BI$16),$C59*NETWORKDAYS(MAX($D59,BI$16),MIN($E59,BI$17),Libur!$A$2:$A$38)/NETWORKDAYS($D59,$E59,Libur!$A$2:$A$38),0)</f>
        <v>0</v>
      </c>
      <c r="BJ59" s="53">
        <f>IF(AND($D59&lt;=BJ$17,$E59&gt;=BJ$16),$C59*NETWORKDAYS(MAX($D59,BJ$16),MIN($E59,BJ$17),Libur!$A$2:$A$38)/NETWORKDAYS($D59,$E59,Libur!$A$2:$A$38),0)</f>
        <v>0</v>
      </c>
      <c r="BK59" s="53">
        <f>IF(AND($D59&lt;=BK$17,$E59&gt;=BK$16),$C59*NETWORKDAYS(MAX($D59,BK$16),MIN($E59,BK$17),Libur!$A$2:$A$38)/NETWORKDAYS($D59,$E59,Libur!$A$2:$A$38),0)</f>
        <v>0</v>
      </c>
    </row>
    <row r="60" spans="1:63" s="9" customFormat="1" x14ac:dyDescent="0.25">
      <c r="A60" s="36" t="s">
        <v>109</v>
      </c>
      <c r="B60" s="9" t="s">
        <v>110</v>
      </c>
      <c r="C60" s="48">
        <v>0.01</v>
      </c>
      <c r="D60" s="47">
        <v>46262</v>
      </c>
      <c r="E60" s="47">
        <v>46262</v>
      </c>
      <c r="F60" s="7">
        <f>C60</f>
        <v>0.01</v>
      </c>
      <c r="G60" s="48">
        <f>SUM(P60:AZ60)</f>
        <v>0.01</v>
      </c>
      <c r="H60" s="49">
        <f>NETWORKDAYS(D60,E60,Hari_Libur)</f>
        <v>1</v>
      </c>
      <c r="I60" s="50">
        <f>IF($C$8&gt;=E60,1,IF($C$8&lt;D60,0,IF(NETWORKDAYS(D60,E60,Hari_Libur)=0,0,NETWORKDAYS(D60,$C$8,Hari_Libur)/NETWORKDAYS(D60,E60,Hari_Libur))))</f>
        <v>0</v>
      </c>
      <c r="J60" s="50">
        <f>I60*F60</f>
        <v>0</v>
      </c>
      <c r="K60" s="50">
        <v>0</v>
      </c>
      <c r="L60" s="50">
        <f>C60*K60</f>
        <v>0</v>
      </c>
      <c r="M60" s="50">
        <f>L60-J60</f>
        <v>0</v>
      </c>
      <c r="N60" s="51">
        <f>C60</f>
        <v>0.01</v>
      </c>
      <c r="O60" s="52">
        <f>SUM(P60:BK60)</f>
        <v>0.01</v>
      </c>
      <c r="P60" s="53">
        <f t="shared" ref="P60:BK60" si="47">IF(AND($D60&lt;=P$17,$E60&gt;=P$16),$C60*NETWORKDAYS(MAX($D60,P$16),MIN($E60,P$17),Hari_Libur)/NETWORKDAYS($D60,$E60,Hari_Libur),0)</f>
        <v>0</v>
      </c>
      <c r="Q60" s="53">
        <f t="shared" si="47"/>
        <v>0</v>
      </c>
      <c r="R60" s="53">
        <f t="shared" si="47"/>
        <v>0</v>
      </c>
      <c r="S60" s="53">
        <f t="shared" si="47"/>
        <v>0</v>
      </c>
      <c r="T60" s="53">
        <f t="shared" si="47"/>
        <v>0</v>
      </c>
      <c r="U60" s="53">
        <f t="shared" si="47"/>
        <v>0</v>
      </c>
      <c r="V60" s="53">
        <f t="shared" si="47"/>
        <v>0</v>
      </c>
      <c r="W60" s="53">
        <f t="shared" si="47"/>
        <v>0</v>
      </c>
      <c r="X60" s="53">
        <f t="shared" si="47"/>
        <v>0</v>
      </c>
      <c r="Y60" s="53">
        <f t="shared" si="47"/>
        <v>0</v>
      </c>
      <c r="Z60" s="53">
        <f t="shared" si="47"/>
        <v>0</v>
      </c>
      <c r="AA60" s="53">
        <f t="shared" si="47"/>
        <v>0</v>
      </c>
      <c r="AB60" s="53">
        <f t="shared" si="47"/>
        <v>0</v>
      </c>
      <c r="AC60" s="53">
        <f t="shared" si="47"/>
        <v>0</v>
      </c>
      <c r="AD60" s="53">
        <f t="shared" si="47"/>
        <v>0</v>
      </c>
      <c r="AE60" s="53">
        <f t="shared" si="47"/>
        <v>0</v>
      </c>
      <c r="AF60" s="53">
        <f t="shared" si="47"/>
        <v>0.01</v>
      </c>
      <c r="AG60" s="53">
        <f t="shared" si="47"/>
        <v>0</v>
      </c>
      <c r="AH60" s="53">
        <f t="shared" si="47"/>
        <v>0</v>
      </c>
      <c r="AI60" s="53">
        <f t="shared" si="47"/>
        <v>0</v>
      </c>
      <c r="AJ60" s="53">
        <f t="shared" si="47"/>
        <v>0</v>
      </c>
      <c r="AK60" s="53">
        <f t="shared" si="47"/>
        <v>0</v>
      </c>
      <c r="AL60" s="53">
        <f t="shared" si="47"/>
        <v>0</v>
      </c>
      <c r="AM60" s="53">
        <f t="shared" si="47"/>
        <v>0</v>
      </c>
      <c r="AN60" s="53">
        <f t="shared" si="47"/>
        <v>0</v>
      </c>
      <c r="AO60" s="53">
        <f t="shared" si="47"/>
        <v>0</v>
      </c>
      <c r="AP60" s="53">
        <f t="shared" si="47"/>
        <v>0</v>
      </c>
      <c r="AQ60" s="53">
        <f t="shared" si="47"/>
        <v>0</v>
      </c>
      <c r="AR60" s="53">
        <f t="shared" si="47"/>
        <v>0</v>
      </c>
      <c r="AS60" s="53">
        <f t="shared" si="47"/>
        <v>0</v>
      </c>
      <c r="AT60" s="53">
        <f t="shared" si="47"/>
        <v>0</v>
      </c>
      <c r="AU60" s="53">
        <f t="shared" si="47"/>
        <v>0</v>
      </c>
      <c r="AV60" s="53">
        <f t="shared" si="47"/>
        <v>0</v>
      </c>
      <c r="AW60" s="53">
        <f t="shared" si="47"/>
        <v>0</v>
      </c>
      <c r="AX60" s="53">
        <f t="shared" si="47"/>
        <v>0</v>
      </c>
      <c r="AY60" s="53">
        <f t="shared" si="47"/>
        <v>0</v>
      </c>
      <c r="AZ60" s="53">
        <f t="shared" si="47"/>
        <v>0</v>
      </c>
      <c r="BA60" s="53">
        <f t="shared" si="47"/>
        <v>0</v>
      </c>
      <c r="BB60" s="53">
        <f t="shared" si="47"/>
        <v>0</v>
      </c>
      <c r="BC60" s="53">
        <f t="shared" si="47"/>
        <v>0</v>
      </c>
      <c r="BD60" s="53">
        <f t="shared" si="47"/>
        <v>0</v>
      </c>
      <c r="BE60" s="53">
        <f t="shared" si="47"/>
        <v>0</v>
      </c>
      <c r="BF60" s="53">
        <f t="shared" si="47"/>
        <v>0</v>
      </c>
      <c r="BG60" s="53">
        <f t="shared" si="47"/>
        <v>0</v>
      </c>
      <c r="BH60" s="53">
        <f t="shared" si="47"/>
        <v>0</v>
      </c>
      <c r="BI60" s="53">
        <f t="shared" si="47"/>
        <v>0</v>
      </c>
      <c r="BJ60" s="53">
        <f t="shared" si="47"/>
        <v>0</v>
      </c>
      <c r="BK60" s="53">
        <f t="shared" si="47"/>
        <v>0</v>
      </c>
    </row>
    <row r="61" spans="1:63" x14ac:dyDescent="0.25">
      <c r="C61" s="7"/>
      <c r="F61" s="45"/>
      <c r="G61" s="45"/>
      <c r="H61" s="49"/>
      <c r="I61" s="48"/>
      <c r="J61" s="48"/>
      <c r="K61" s="48"/>
      <c r="L61" s="48"/>
      <c r="M61" s="48"/>
      <c r="N61" s="48"/>
    </row>
    <row r="62" spans="1:63" x14ac:dyDescent="0.25">
      <c r="B62" s="5" t="s">
        <v>111</v>
      </c>
      <c r="C62" s="7">
        <f>SUM(C21:C21,C25:C26,C29:C30,C33:C36,C39:C41,C44:C49,C52:C54,C57:C58,C60:C60)</f>
        <v>1.0000000000000002</v>
      </c>
      <c r="F62" s="59" t="s">
        <v>112</v>
      </c>
      <c r="G62" s="45"/>
      <c r="H62" s="49"/>
      <c r="I62" s="48"/>
      <c r="J62" s="60">
        <f>SUM(J21:J21,J25:J26,J29:J30,J33:J36,J39:J41,J44:J49,J52:J54,J57:J58,J60:J60)</f>
        <v>5.1428571428571428E-2</v>
      </c>
      <c r="L62" s="60">
        <f>SUM(L21:L21,L25:L26,L29:L30,L33:L36,L39:L41,L44:L49,L52:L54,L57:L58,L60:L60)</f>
        <v>5.5E-2</v>
      </c>
      <c r="M62" s="60">
        <f>SUM(M21:M21,M25:M26,M29:M30,M33:M36,M39:M41,M44:M49,M52:M54,M57:M58,M60:M60)</f>
        <v>3.5714285714285726E-3</v>
      </c>
      <c r="O62" s="61">
        <f t="shared" ref="O62:AT62" si="48">SUM(O21:O21,O25:O26,O29:O30,O33:O36,O39:O41,O44:O49,O52:O54,O57:O58,O60:O60)</f>
        <v>1.0000000000000002</v>
      </c>
      <c r="P62" s="62">
        <f t="shared" si="48"/>
        <v>5.1428571428571435E-2</v>
      </c>
      <c r="Q62" s="62">
        <f t="shared" si="48"/>
        <v>4.8571428571428571E-2</v>
      </c>
      <c r="R62" s="62">
        <f t="shared" si="48"/>
        <v>5.000000000000001E-2</v>
      </c>
      <c r="S62" s="62">
        <f t="shared" si="48"/>
        <v>7.0000000000000007E-2</v>
      </c>
      <c r="T62" s="62">
        <f t="shared" si="48"/>
        <v>0.13</v>
      </c>
      <c r="U62" s="62">
        <f t="shared" si="48"/>
        <v>6.0504201680672269E-2</v>
      </c>
      <c r="V62" s="62">
        <f t="shared" si="48"/>
        <v>9.7689075630252101E-2</v>
      </c>
      <c r="W62" s="62">
        <f t="shared" si="48"/>
        <v>9.7689075630252101E-2</v>
      </c>
      <c r="X62" s="62">
        <f t="shared" si="48"/>
        <v>4.4117647058823532E-2</v>
      </c>
      <c r="Y62" s="62">
        <f t="shared" si="48"/>
        <v>0.12</v>
      </c>
      <c r="Z62" s="62">
        <f t="shared" si="48"/>
        <v>2.2499999999999999E-2</v>
      </c>
      <c r="AA62" s="62">
        <f t="shared" si="48"/>
        <v>2.0833333333333336E-2</v>
      </c>
      <c r="AB62" s="62">
        <f t="shared" si="48"/>
        <v>2.6666666666666668E-2</v>
      </c>
      <c r="AC62" s="62">
        <f t="shared" si="48"/>
        <v>0.04</v>
      </c>
      <c r="AD62" s="62">
        <f t="shared" si="48"/>
        <v>0.05</v>
      </c>
      <c r="AE62" s="62">
        <f t="shared" si="48"/>
        <v>0.06</v>
      </c>
      <c r="AF62" s="62">
        <f t="shared" si="48"/>
        <v>0.01</v>
      </c>
      <c r="AG62" s="62">
        <f t="shared" si="48"/>
        <v>0</v>
      </c>
      <c r="AH62" s="62">
        <f t="shared" si="48"/>
        <v>0</v>
      </c>
      <c r="AI62" s="62">
        <f t="shared" si="48"/>
        <v>0</v>
      </c>
      <c r="AJ62" s="62">
        <f t="shared" si="48"/>
        <v>0</v>
      </c>
      <c r="AK62" s="63">
        <f t="shared" si="48"/>
        <v>0</v>
      </c>
      <c r="AL62" s="64">
        <f t="shared" si="48"/>
        <v>0</v>
      </c>
      <c r="AM62" s="64">
        <f t="shared" si="48"/>
        <v>0</v>
      </c>
      <c r="AN62" s="64">
        <f t="shared" si="48"/>
        <v>0</v>
      </c>
      <c r="AO62" s="64">
        <f t="shared" si="48"/>
        <v>0</v>
      </c>
      <c r="AP62" s="64">
        <f t="shared" si="48"/>
        <v>0</v>
      </c>
      <c r="AQ62" s="64">
        <f t="shared" si="48"/>
        <v>0</v>
      </c>
      <c r="AR62" s="64">
        <f t="shared" si="48"/>
        <v>0</v>
      </c>
      <c r="AS62" s="64">
        <f t="shared" si="48"/>
        <v>0</v>
      </c>
      <c r="AT62" s="64">
        <f t="shared" si="48"/>
        <v>0</v>
      </c>
      <c r="AU62" s="64">
        <f t="shared" ref="AU62:BK62" si="49">SUM(AU21:AU21,AU25:AU26,AU29:AU30,AU33:AU36,AU39:AU41,AU44:AU49,AU52:AU54,AU57:AU58,AU60:AU60)</f>
        <v>0</v>
      </c>
      <c r="AV62" s="64">
        <f t="shared" si="49"/>
        <v>0</v>
      </c>
      <c r="AW62" s="64">
        <f t="shared" si="49"/>
        <v>0</v>
      </c>
      <c r="AX62" s="64">
        <f t="shared" si="49"/>
        <v>0</v>
      </c>
      <c r="AY62" s="64">
        <f t="shared" si="49"/>
        <v>0</v>
      </c>
      <c r="AZ62" s="64">
        <f t="shared" si="49"/>
        <v>0</v>
      </c>
      <c r="BA62" s="64">
        <f t="shared" si="49"/>
        <v>0</v>
      </c>
      <c r="BB62" s="64">
        <f t="shared" si="49"/>
        <v>0</v>
      </c>
      <c r="BC62" s="64">
        <f t="shared" si="49"/>
        <v>0</v>
      </c>
      <c r="BD62" s="64">
        <f t="shared" si="49"/>
        <v>0</v>
      </c>
      <c r="BE62" s="64">
        <f t="shared" si="49"/>
        <v>0</v>
      </c>
      <c r="BF62" s="64">
        <f t="shared" si="49"/>
        <v>0</v>
      </c>
      <c r="BG62" s="64">
        <f t="shared" si="49"/>
        <v>0</v>
      </c>
      <c r="BH62" s="64">
        <f t="shared" si="49"/>
        <v>0</v>
      </c>
      <c r="BI62" s="64">
        <f t="shared" si="49"/>
        <v>0</v>
      </c>
      <c r="BJ62" s="64">
        <f t="shared" si="49"/>
        <v>0</v>
      </c>
      <c r="BK62" s="64">
        <f t="shared" si="49"/>
        <v>0</v>
      </c>
    </row>
    <row r="63" spans="1:63" x14ac:dyDescent="0.25">
      <c r="F63" s="5" t="s">
        <v>113</v>
      </c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</row>
    <row r="66" spans="2:63" x14ac:dyDescent="0.25">
      <c r="H66" s="65"/>
      <c r="I66" s="66"/>
      <c r="J66" s="66"/>
      <c r="K66" s="66"/>
      <c r="L66" s="66"/>
      <c r="M66" s="66"/>
      <c r="N66" s="66"/>
      <c r="O66" s="9" t="s">
        <v>114</v>
      </c>
      <c r="P66" s="67">
        <f t="shared" ref="P66:BK66" si="50">MAX(P16,P17)</f>
        <v>46156</v>
      </c>
      <c r="Q66" s="67">
        <f t="shared" si="50"/>
        <v>46163</v>
      </c>
      <c r="R66" s="67">
        <f t="shared" si="50"/>
        <v>46170</v>
      </c>
      <c r="S66" s="67">
        <f t="shared" si="50"/>
        <v>46177</v>
      </c>
      <c r="T66" s="67">
        <f t="shared" si="50"/>
        <v>46184</v>
      </c>
      <c r="U66" s="67">
        <f t="shared" si="50"/>
        <v>46191</v>
      </c>
      <c r="V66" s="67">
        <f t="shared" si="50"/>
        <v>46198</v>
      </c>
      <c r="W66" s="67">
        <f t="shared" si="50"/>
        <v>46205</v>
      </c>
      <c r="X66" s="67">
        <f t="shared" si="50"/>
        <v>46212</v>
      </c>
      <c r="Y66" s="67">
        <f t="shared" si="50"/>
        <v>46219</v>
      </c>
      <c r="Z66" s="67">
        <f t="shared" si="50"/>
        <v>46226</v>
      </c>
      <c r="AA66" s="67">
        <f t="shared" si="50"/>
        <v>46233</v>
      </c>
      <c r="AB66" s="67">
        <f t="shared" si="50"/>
        <v>46240</v>
      </c>
      <c r="AC66" s="67">
        <f t="shared" si="50"/>
        <v>46247</v>
      </c>
      <c r="AD66" s="67">
        <f t="shared" si="50"/>
        <v>46254</v>
      </c>
      <c r="AE66" s="67">
        <f t="shared" si="50"/>
        <v>46261</v>
      </c>
      <c r="AF66" s="67">
        <f t="shared" si="50"/>
        <v>46268</v>
      </c>
      <c r="AG66" s="67">
        <f t="shared" si="50"/>
        <v>46275</v>
      </c>
      <c r="AH66" s="67">
        <f t="shared" si="50"/>
        <v>46282</v>
      </c>
      <c r="AI66" s="67">
        <f t="shared" si="50"/>
        <v>46289</v>
      </c>
      <c r="AJ66" s="67">
        <f t="shared" si="50"/>
        <v>46296</v>
      </c>
      <c r="AK66" s="67">
        <f t="shared" si="50"/>
        <v>46303</v>
      </c>
      <c r="AL66" s="67">
        <f t="shared" si="50"/>
        <v>46310</v>
      </c>
      <c r="AM66" s="67">
        <f t="shared" si="50"/>
        <v>46317</v>
      </c>
      <c r="AN66" s="67">
        <f t="shared" si="50"/>
        <v>46324</v>
      </c>
      <c r="AO66" s="67">
        <f t="shared" si="50"/>
        <v>46331</v>
      </c>
      <c r="AP66" s="67">
        <f t="shared" si="50"/>
        <v>46338</v>
      </c>
      <c r="AQ66" s="67">
        <f t="shared" si="50"/>
        <v>46345</v>
      </c>
      <c r="AR66" s="67">
        <f t="shared" si="50"/>
        <v>46352</v>
      </c>
      <c r="AS66" s="67">
        <f t="shared" si="50"/>
        <v>46359</v>
      </c>
      <c r="AT66" s="67">
        <f t="shared" si="50"/>
        <v>46366</v>
      </c>
      <c r="AU66" s="67">
        <f t="shared" si="50"/>
        <v>46373</v>
      </c>
      <c r="AV66" s="67">
        <f t="shared" si="50"/>
        <v>46380</v>
      </c>
      <c r="AW66" s="67">
        <f t="shared" si="50"/>
        <v>46387</v>
      </c>
      <c r="AX66" s="67">
        <f t="shared" si="50"/>
        <v>46394</v>
      </c>
      <c r="AY66" s="67">
        <f t="shared" si="50"/>
        <v>46401</v>
      </c>
      <c r="AZ66" s="67">
        <f t="shared" si="50"/>
        <v>46408</v>
      </c>
      <c r="BA66" s="67">
        <f t="shared" si="50"/>
        <v>46415</v>
      </c>
      <c r="BB66" s="67">
        <f t="shared" si="50"/>
        <v>46422</v>
      </c>
      <c r="BC66" s="67">
        <f t="shared" si="50"/>
        <v>46429</v>
      </c>
      <c r="BD66" s="67">
        <f t="shared" si="50"/>
        <v>46436</v>
      </c>
      <c r="BE66" s="67">
        <f t="shared" si="50"/>
        <v>46443</v>
      </c>
      <c r="BF66" s="67">
        <f t="shared" si="50"/>
        <v>46450</v>
      </c>
      <c r="BG66" s="67">
        <f t="shared" si="50"/>
        <v>46457</v>
      </c>
      <c r="BH66" s="67">
        <f t="shared" si="50"/>
        <v>46464</v>
      </c>
      <c r="BI66" s="67">
        <f t="shared" si="50"/>
        <v>46471</v>
      </c>
      <c r="BJ66" s="67">
        <f t="shared" si="50"/>
        <v>46478</v>
      </c>
      <c r="BK66" s="67">
        <f t="shared" si="50"/>
        <v>46485</v>
      </c>
    </row>
    <row r="67" spans="2:63" x14ac:dyDescent="0.25">
      <c r="H67" s="65"/>
      <c r="I67" s="66"/>
      <c r="J67" s="66"/>
      <c r="K67" s="66"/>
      <c r="L67" s="66"/>
      <c r="M67" s="66"/>
      <c r="N67" s="66"/>
      <c r="O67" s="68" t="s">
        <v>115</v>
      </c>
      <c r="P67" s="62">
        <f>P62</f>
        <v>5.1428571428571435E-2</v>
      </c>
      <c r="Q67" s="62">
        <f t="shared" ref="Q67:BK67" si="51">+Q62+P67</f>
        <v>0.1</v>
      </c>
      <c r="R67" s="62">
        <f t="shared" si="51"/>
        <v>0.15000000000000002</v>
      </c>
      <c r="S67" s="62">
        <f t="shared" si="51"/>
        <v>0.22000000000000003</v>
      </c>
      <c r="T67" s="62">
        <f t="shared" si="51"/>
        <v>0.35000000000000003</v>
      </c>
      <c r="U67" s="62">
        <f t="shared" si="51"/>
        <v>0.41050420168067231</v>
      </c>
      <c r="V67" s="62">
        <f t="shared" si="51"/>
        <v>0.50819327731092445</v>
      </c>
      <c r="W67" s="62">
        <f t="shared" si="51"/>
        <v>0.60588235294117654</v>
      </c>
      <c r="X67" s="62">
        <f t="shared" si="51"/>
        <v>0.65</v>
      </c>
      <c r="Y67" s="62">
        <f t="shared" si="51"/>
        <v>0.77</v>
      </c>
      <c r="Z67" s="62">
        <f t="shared" si="51"/>
        <v>0.79249999999999998</v>
      </c>
      <c r="AA67" s="62">
        <f t="shared" si="51"/>
        <v>0.81333333333333335</v>
      </c>
      <c r="AB67" s="62">
        <f t="shared" si="51"/>
        <v>0.84</v>
      </c>
      <c r="AC67" s="62">
        <f t="shared" si="51"/>
        <v>0.88</v>
      </c>
      <c r="AD67" s="62">
        <f t="shared" si="51"/>
        <v>0.93</v>
      </c>
      <c r="AE67" s="62">
        <f t="shared" si="51"/>
        <v>0.99</v>
      </c>
      <c r="AF67" s="62">
        <f t="shared" si="51"/>
        <v>1</v>
      </c>
      <c r="AG67" s="62">
        <f t="shared" si="51"/>
        <v>1</v>
      </c>
      <c r="AH67" s="62">
        <f t="shared" si="51"/>
        <v>1</v>
      </c>
      <c r="AI67" s="62">
        <f t="shared" si="51"/>
        <v>1</v>
      </c>
      <c r="AJ67" s="62">
        <f t="shared" si="51"/>
        <v>1</v>
      </c>
      <c r="AK67" s="62">
        <f t="shared" si="51"/>
        <v>1</v>
      </c>
      <c r="AL67" s="64">
        <f t="shared" si="51"/>
        <v>1</v>
      </c>
      <c r="AM67" s="64">
        <f t="shared" si="51"/>
        <v>1</v>
      </c>
      <c r="AN67" s="64">
        <f t="shared" si="51"/>
        <v>1</v>
      </c>
      <c r="AO67" s="64">
        <f t="shared" si="51"/>
        <v>1</v>
      </c>
      <c r="AP67" s="64">
        <f t="shared" si="51"/>
        <v>1</v>
      </c>
      <c r="AQ67" s="64">
        <f t="shared" si="51"/>
        <v>1</v>
      </c>
      <c r="AR67" s="64">
        <f t="shared" si="51"/>
        <v>1</v>
      </c>
      <c r="AS67" s="64">
        <f t="shared" si="51"/>
        <v>1</v>
      </c>
      <c r="AT67" s="64">
        <f t="shared" si="51"/>
        <v>1</v>
      </c>
      <c r="AU67" s="64">
        <f t="shared" si="51"/>
        <v>1</v>
      </c>
      <c r="AV67" s="64">
        <f t="shared" si="51"/>
        <v>1</v>
      </c>
      <c r="AW67" s="64">
        <f t="shared" si="51"/>
        <v>1</v>
      </c>
      <c r="AX67" s="64">
        <f t="shared" si="51"/>
        <v>1</v>
      </c>
      <c r="AY67" s="64">
        <f t="shared" si="51"/>
        <v>1</v>
      </c>
      <c r="AZ67" s="64">
        <f t="shared" si="51"/>
        <v>1</v>
      </c>
      <c r="BA67" s="64">
        <f t="shared" si="51"/>
        <v>1</v>
      </c>
      <c r="BB67" s="64">
        <f t="shared" si="51"/>
        <v>1</v>
      </c>
      <c r="BC67" s="64">
        <f t="shared" si="51"/>
        <v>1</v>
      </c>
      <c r="BD67" s="64">
        <f t="shared" si="51"/>
        <v>1</v>
      </c>
      <c r="BE67" s="64">
        <f t="shared" si="51"/>
        <v>1</v>
      </c>
      <c r="BF67" s="64">
        <f t="shared" si="51"/>
        <v>1</v>
      </c>
      <c r="BG67" s="64">
        <f t="shared" si="51"/>
        <v>1</v>
      </c>
      <c r="BH67" s="64">
        <f t="shared" si="51"/>
        <v>1</v>
      </c>
      <c r="BI67" s="64">
        <f t="shared" si="51"/>
        <v>1</v>
      </c>
      <c r="BJ67" s="64">
        <f t="shared" si="51"/>
        <v>1</v>
      </c>
      <c r="BK67" s="64">
        <f t="shared" si="51"/>
        <v>1</v>
      </c>
    </row>
    <row r="68" spans="2:63" x14ac:dyDescent="0.25">
      <c r="H68" s="65"/>
      <c r="I68" s="66"/>
      <c r="J68" s="66"/>
      <c r="K68" s="66"/>
      <c r="L68" s="66"/>
      <c r="M68" s="66"/>
      <c r="N68" s="66"/>
      <c r="O68" s="9" t="s">
        <v>116</v>
      </c>
      <c r="P68" s="62">
        <f>IF(ISNUMBER(INDEX(Log_Mingguan!$D$8:$D$55,COLUMNS($P68:P68))),INDEX(Log_Mingguan!$D$8:$D$55,COLUMNS($P68:P68)),"")</f>
        <v>5.5E-2</v>
      </c>
      <c r="Q68" s="62" t="str">
        <f>IF(ISNUMBER(INDEX(Log_Mingguan!$D$8:$D$55,COLUMNS($P68:Q68))),INDEX(Log_Mingguan!$D$8:$D$55,COLUMNS($P68:Q68)),"")</f>
        <v/>
      </c>
      <c r="R68" s="62" t="str">
        <f>IF(ISNUMBER(INDEX(Log_Mingguan!$D$8:$D$55,COLUMNS($P68:R68))),INDEX(Log_Mingguan!$D$8:$D$55,COLUMNS($P68:R68)),"")</f>
        <v/>
      </c>
      <c r="S68" s="62" t="str">
        <f>IF(ISNUMBER(INDEX(Log_Mingguan!$D$8:$D$55,COLUMNS($P68:S68))),INDEX(Log_Mingguan!$D$8:$D$55,COLUMNS($P68:S68)),"")</f>
        <v/>
      </c>
      <c r="T68" s="62" t="str">
        <f>IF(ISNUMBER(INDEX(Log_Mingguan!$D$8:$D$55,COLUMNS($P68:T68))),INDEX(Log_Mingguan!$D$8:$D$55,COLUMNS($P68:T68)),"")</f>
        <v/>
      </c>
      <c r="U68" s="62" t="str">
        <f>IF(ISNUMBER(INDEX(Log_Mingguan!$D$8:$D$55,COLUMNS($P68:U68))),INDEX(Log_Mingguan!$D$8:$D$55,COLUMNS($P68:U68)),"")</f>
        <v/>
      </c>
      <c r="V68" s="62" t="str">
        <f>IF(ISNUMBER(INDEX(Log_Mingguan!$D$8:$D$55,COLUMNS($P68:V68))),INDEX(Log_Mingguan!$D$8:$D$55,COLUMNS($P68:V68)),"")</f>
        <v/>
      </c>
      <c r="W68" s="62" t="str">
        <f>IF(ISNUMBER(INDEX(Log_Mingguan!$D$8:$D$55,COLUMNS($P68:W68))),INDEX(Log_Mingguan!$D$8:$D$55,COLUMNS($P68:W68)),"")</f>
        <v/>
      </c>
      <c r="X68" s="62" t="str">
        <f>IF(ISNUMBER(INDEX(Log_Mingguan!$D$8:$D$55,COLUMNS($P68:X68))),INDEX(Log_Mingguan!$D$8:$D$55,COLUMNS($P68:X68)),"")</f>
        <v/>
      </c>
      <c r="Y68" s="62" t="str">
        <f>IF(ISNUMBER(INDEX(Log_Mingguan!$D$8:$D$55,COLUMNS($P68:Y68))),INDEX(Log_Mingguan!$D$8:$D$55,COLUMNS($P68:Y68)),"")</f>
        <v/>
      </c>
      <c r="Z68" s="62" t="str">
        <f>IF(ISNUMBER(INDEX(Log_Mingguan!$D$8:$D$55,COLUMNS($P68:Z68))),INDEX(Log_Mingguan!$D$8:$D$55,COLUMNS($P68:Z68)),"")</f>
        <v/>
      </c>
      <c r="AA68" s="62" t="str">
        <f>IF(ISNUMBER(INDEX(Log_Mingguan!$D$8:$D$55,COLUMNS($P68:AA68))),INDEX(Log_Mingguan!$D$8:$D$55,COLUMNS($P68:AA68)),"")</f>
        <v/>
      </c>
      <c r="AB68" s="62" t="str">
        <f>IF(ISNUMBER(INDEX(Log_Mingguan!$D$8:$D$55,COLUMNS($P68:AB68))),INDEX(Log_Mingguan!$D$8:$D$55,COLUMNS($P68:AB68)),"")</f>
        <v/>
      </c>
      <c r="AC68" s="62" t="str">
        <f>IF(ISNUMBER(INDEX(Log_Mingguan!$D$8:$D$55,COLUMNS($P68:AC68))),INDEX(Log_Mingguan!$D$8:$D$55,COLUMNS($P68:AC68)),"")</f>
        <v/>
      </c>
      <c r="AD68" s="62" t="str">
        <f>IF(ISNUMBER(INDEX(Log_Mingguan!$D$8:$D$55,COLUMNS($P68:AD68))),INDEX(Log_Mingguan!$D$8:$D$55,COLUMNS($P68:AD68)),"")</f>
        <v/>
      </c>
      <c r="AE68" s="62" t="str">
        <f>IF(ISNUMBER(INDEX(Log_Mingguan!$D$8:$D$55,COLUMNS($P68:AE68))),INDEX(Log_Mingguan!$D$8:$D$55,COLUMNS($P68:AE68)),"")</f>
        <v/>
      </c>
      <c r="AF68" s="62" t="str">
        <f>IF(ISNUMBER(INDEX(Log_Mingguan!$D$8:$D$55,COLUMNS($P68:AF68))),INDEX(Log_Mingguan!$D$8:$D$55,COLUMNS($P68:AF68)),"")</f>
        <v/>
      </c>
      <c r="AG68" s="62" t="str">
        <f>IF(ISNUMBER(INDEX(Log_Mingguan!$D$8:$D$55,COLUMNS($P68:AG68))),INDEX(Log_Mingguan!$D$8:$D$55,COLUMNS($P68:AG68)),"")</f>
        <v/>
      </c>
      <c r="AH68" s="62" t="str">
        <f>IF(ISNUMBER(INDEX(Log_Mingguan!$D$8:$D$55,COLUMNS($P68:AH68))),INDEX(Log_Mingguan!$D$8:$D$55,COLUMNS($P68:AH68)),"")</f>
        <v/>
      </c>
      <c r="AI68" s="62" t="str">
        <f>IF(ISNUMBER(INDEX(Log_Mingguan!$D$8:$D$55,COLUMNS($P68:AI68))),INDEX(Log_Mingguan!$D$8:$D$55,COLUMNS($P68:AI68)),"")</f>
        <v/>
      </c>
      <c r="AJ68" s="62" t="str">
        <f>IF(ISNUMBER(INDEX(Log_Mingguan!$D$8:$D$55,COLUMNS($P68:AJ68))),INDEX(Log_Mingguan!$D$8:$D$55,COLUMNS($P68:AJ68)),"")</f>
        <v/>
      </c>
      <c r="AK68" s="69" t="str">
        <f>IF(ISNUMBER(INDEX(Log_Mingguan!$D$8:$D$55,COLUMNS($P68:AK68))),INDEX(Log_Mingguan!$D$8:$D$55,COLUMNS($P68:AK68)),"")</f>
        <v/>
      </c>
      <c r="AL68" s="62" t="str">
        <f>IF(ISNUMBER(INDEX(Log_Mingguan!$D$8:$D$55,COLUMNS($P68:AL68))),INDEX(Log_Mingguan!$D$8:$D$55,COLUMNS($P68:AL68)),"")</f>
        <v/>
      </c>
      <c r="AM68" s="62" t="str">
        <f>IF(ISNUMBER(INDEX(Log_Mingguan!$D$8:$D$55,COLUMNS($P68:AM68))),INDEX(Log_Mingguan!$D$8:$D$55,COLUMNS($P68:AM68)),"")</f>
        <v/>
      </c>
      <c r="AN68" s="62" t="str">
        <f>IF(ISNUMBER(INDEX(Log_Mingguan!$D$8:$D$55,COLUMNS($P68:AN68))),INDEX(Log_Mingguan!$D$8:$D$55,COLUMNS($P68:AN68)),"")</f>
        <v/>
      </c>
      <c r="AO68" s="62" t="str">
        <f>IF(ISNUMBER(INDEX(Log_Mingguan!$D$8:$D$55,COLUMNS($P68:AO68))),INDEX(Log_Mingguan!$D$8:$D$55,COLUMNS($P68:AO68)),"")</f>
        <v/>
      </c>
      <c r="AP68" s="62" t="str">
        <f>IF(ISNUMBER(INDEX(Log_Mingguan!$D$8:$D$55,COLUMNS($P68:AP68))),INDEX(Log_Mingguan!$D$8:$D$55,COLUMNS($P68:AP68)),"")</f>
        <v/>
      </c>
      <c r="AQ68" s="62" t="str">
        <f>IF(ISNUMBER(INDEX(Log_Mingguan!$D$8:$D$55,COLUMNS($P68:AQ68))),INDEX(Log_Mingguan!$D$8:$D$55,COLUMNS($P68:AQ68)),"")</f>
        <v/>
      </c>
      <c r="AR68" s="62" t="str">
        <f>IF(ISNUMBER(INDEX(Log_Mingguan!$D$8:$D$55,COLUMNS($P68:AR68))),INDEX(Log_Mingguan!$D$8:$D$55,COLUMNS($P68:AR68)),"")</f>
        <v/>
      </c>
      <c r="AS68" s="62" t="str">
        <f>IF(ISNUMBER(INDEX(Log_Mingguan!$D$8:$D$55,COLUMNS($P68:AS68))),INDEX(Log_Mingguan!$D$8:$D$55,COLUMNS($P68:AS68)),"")</f>
        <v/>
      </c>
      <c r="AT68" s="62" t="str">
        <f>IF(ISNUMBER(INDEX(Log_Mingguan!$D$8:$D$55,COLUMNS($P68:AT68))),INDEX(Log_Mingguan!$D$8:$D$55,COLUMNS($P68:AT68)),"")</f>
        <v/>
      </c>
      <c r="AU68" s="62" t="str">
        <f>IF(ISNUMBER(INDEX(Log_Mingguan!$D$8:$D$55,COLUMNS($P68:AU68))),INDEX(Log_Mingguan!$D$8:$D$55,COLUMNS($P68:AU68)),"")</f>
        <v/>
      </c>
      <c r="AV68" s="62" t="str">
        <f>IF(ISNUMBER(INDEX(Log_Mingguan!$D$8:$D$55,COLUMNS($P68:AV68))),INDEX(Log_Mingguan!$D$8:$D$55,COLUMNS($P68:AV68)),"")</f>
        <v/>
      </c>
      <c r="AW68" s="62" t="str">
        <f>IF(ISNUMBER(INDEX(Log_Mingguan!$D$8:$D$55,COLUMNS($P68:AW68))),INDEX(Log_Mingguan!$D$8:$D$55,COLUMNS($P68:AW68)),"")</f>
        <v/>
      </c>
      <c r="AX68" s="62" t="str">
        <f>IF(ISNUMBER(INDEX(Log_Mingguan!$D$8:$D$55,COLUMNS($P68:AX68))),INDEX(Log_Mingguan!$D$8:$D$55,COLUMNS($P68:AX68)),"")</f>
        <v/>
      </c>
      <c r="AY68" s="62" t="str">
        <f>IF(ISNUMBER(INDEX(Log_Mingguan!$D$8:$D$55,COLUMNS($P68:AY68))),INDEX(Log_Mingguan!$D$8:$D$55,COLUMNS($P68:AY68)),"")</f>
        <v/>
      </c>
      <c r="AZ68" s="62" t="str">
        <f>IF(ISNUMBER(INDEX(Log_Mingguan!$D$8:$D$55,COLUMNS($P68:AZ68))),INDEX(Log_Mingguan!$D$8:$D$55,COLUMNS($P68:AZ68)),"")</f>
        <v/>
      </c>
      <c r="BA68" s="62" t="str">
        <f>IF(ISNUMBER(INDEX(Log_Mingguan!$D$8:$D$55,COLUMNS($P68:BA68))),INDEX(Log_Mingguan!$D$8:$D$55,COLUMNS($P68:BA68)),"")</f>
        <v/>
      </c>
      <c r="BB68" s="62" t="str">
        <f>IF(ISNUMBER(INDEX(Log_Mingguan!$D$8:$D$55,COLUMNS($P68:BB68))),INDEX(Log_Mingguan!$D$8:$D$55,COLUMNS($P68:BB68)),"")</f>
        <v/>
      </c>
      <c r="BC68" s="62" t="str">
        <f>IF(ISNUMBER(INDEX(Log_Mingguan!$D$8:$D$55,COLUMNS($P68:BC68))),INDEX(Log_Mingguan!$D$8:$D$55,COLUMNS($P68:BC68)),"")</f>
        <v/>
      </c>
      <c r="BD68" s="62" t="str">
        <f>IF(ISNUMBER(INDEX(Log_Mingguan!$D$8:$D$55,COLUMNS($P68:BD68))),INDEX(Log_Mingguan!$D$8:$D$55,COLUMNS($P68:BD68)),"")</f>
        <v/>
      </c>
      <c r="BE68" s="62" t="str">
        <f>IF(ISNUMBER(INDEX(Log_Mingguan!$D$8:$D$55,COLUMNS($P68:BE68))),INDEX(Log_Mingguan!$D$8:$D$55,COLUMNS($P68:BE68)),"")</f>
        <v/>
      </c>
      <c r="BF68" s="62" t="str">
        <f>IF(ISNUMBER(INDEX(Log_Mingguan!$D$8:$D$55,COLUMNS($P68:BF68))),INDEX(Log_Mingguan!$D$8:$D$55,COLUMNS($P68:BF68)),"")</f>
        <v/>
      </c>
      <c r="BG68" s="62" t="str">
        <f>IF(ISNUMBER(INDEX(Log_Mingguan!$D$8:$D$55,COLUMNS($P68:BG68))),INDEX(Log_Mingguan!$D$8:$D$55,COLUMNS($P68:BG68)),"")</f>
        <v/>
      </c>
      <c r="BH68" s="62" t="str">
        <f>IF(ISNUMBER(INDEX(Log_Mingguan!$D$8:$D$55,COLUMNS($P68:BH68))),INDEX(Log_Mingguan!$D$8:$D$55,COLUMNS($P68:BH68)),"")</f>
        <v/>
      </c>
      <c r="BI68" s="62" t="str">
        <f>IF(ISNUMBER(INDEX(Log_Mingguan!$D$8:$D$55,COLUMNS($P68:BI68))),INDEX(Log_Mingguan!$D$8:$D$55,COLUMNS($P68:BI68)),"")</f>
        <v/>
      </c>
      <c r="BJ68" s="62" t="str">
        <f>IF(ISNUMBER(INDEX(Log_Mingguan!$D$8:$D$55,COLUMNS($P68:BJ68))),INDEX(Log_Mingguan!$D$8:$D$55,COLUMNS($P68:BJ68)),"")</f>
        <v/>
      </c>
      <c r="BK68" s="62" t="str">
        <f>IF(ISNUMBER(INDEX(Log_Mingguan!$D$8:$D$55,COLUMNS($P68:BK68))),INDEX(Log_Mingguan!$D$8:$D$55,COLUMNS($P68:BK68)),"")</f>
        <v/>
      </c>
    </row>
    <row r="69" spans="2:63" x14ac:dyDescent="0.25">
      <c r="H69" s="65"/>
      <c r="I69" s="66"/>
      <c r="J69" s="66"/>
      <c r="K69" s="66"/>
      <c r="L69" s="66"/>
      <c r="M69" s="66"/>
      <c r="N69" s="66"/>
      <c r="O69" s="9" t="s">
        <v>12</v>
      </c>
      <c r="P69" s="62">
        <f t="shared" ref="P69:BK69" si="52">IF(ISNUMBER(P68),P68-P67,"")</f>
        <v>3.5714285714285657E-3</v>
      </c>
      <c r="Q69" s="62" t="str">
        <f t="shared" si="52"/>
        <v/>
      </c>
      <c r="R69" s="62" t="str">
        <f t="shared" si="52"/>
        <v/>
      </c>
      <c r="S69" s="62" t="str">
        <f t="shared" si="52"/>
        <v/>
      </c>
      <c r="T69" s="62" t="str">
        <f t="shared" si="52"/>
        <v/>
      </c>
      <c r="U69" s="62" t="str">
        <f t="shared" si="52"/>
        <v/>
      </c>
      <c r="V69" s="62" t="str">
        <f t="shared" si="52"/>
        <v/>
      </c>
      <c r="W69" s="62" t="str">
        <f t="shared" si="52"/>
        <v/>
      </c>
      <c r="X69" s="62" t="str">
        <f t="shared" si="52"/>
        <v/>
      </c>
      <c r="Y69" s="62" t="str">
        <f t="shared" si="52"/>
        <v/>
      </c>
      <c r="Z69" s="62" t="str">
        <f t="shared" si="52"/>
        <v/>
      </c>
      <c r="AA69" s="62" t="str">
        <f t="shared" si="52"/>
        <v/>
      </c>
      <c r="AB69" s="62" t="str">
        <f t="shared" si="52"/>
        <v/>
      </c>
      <c r="AC69" s="62" t="str">
        <f t="shared" si="52"/>
        <v/>
      </c>
      <c r="AD69" s="62" t="str">
        <f t="shared" si="52"/>
        <v/>
      </c>
      <c r="AE69" s="62" t="str">
        <f t="shared" si="52"/>
        <v/>
      </c>
      <c r="AF69" s="62" t="str">
        <f t="shared" si="52"/>
        <v/>
      </c>
      <c r="AG69" s="62" t="str">
        <f t="shared" si="52"/>
        <v/>
      </c>
      <c r="AH69" s="62" t="str">
        <f t="shared" si="52"/>
        <v/>
      </c>
      <c r="AI69" s="62" t="str">
        <f t="shared" si="52"/>
        <v/>
      </c>
      <c r="AJ69" s="62" t="str">
        <f t="shared" si="52"/>
        <v/>
      </c>
      <c r="AK69" s="62" t="str">
        <f t="shared" si="52"/>
        <v/>
      </c>
      <c r="AL69" s="62" t="str">
        <f t="shared" si="52"/>
        <v/>
      </c>
      <c r="AM69" s="64" t="str">
        <f t="shared" si="52"/>
        <v/>
      </c>
      <c r="AN69" s="64" t="str">
        <f t="shared" si="52"/>
        <v/>
      </c>
      <c r="AO69" s="64" t="str">
        <f t="shared" si="52"/>
        <v/>
      </c>
      <c r="AP69" s="64" t="str">
        <f t="shared" si="52"/>
        <v/>
      </c>
      <c r="AQ69" s="64" t="str">
        <f t="shared" si="52"/>
        <v/>
      </c>
      <c r="AR69" s="64" t="str">
        <f t="shared" si="52"/>
        <v/>
      </c>
      <c r="AS69" s="64" t="str">
        <f t="shared" si="52"/>
        <v/>
      </c>
      <c r="AT69" s="64" t="str">
        <f t="shared" si="52"/>
        <v/>
      </c>
      <c r="AU69" s="64" t="str">
        <f t="shared" si="52"/>
        <v/>
      </c>
      <c r="AV69" s="64" t="str">
        <f t="shared" si="52"/>
        <v/>
      </c>
      <c r="AW69" s="64" t="str">
        <f t="shared" si="52"/>
        <v/>
      </c>
      <c r="AX69" s="64" t="str">
        <f t="shared" si="52"/>
        <v/>
      </c>
      <c r="AY69" s="64" t="str">
        <f t="shared" si="52"/>
        <v/>
      </c>
      <c r="AZ69" s="64" t="str">
        <f t="shared" si="52"/>
        <v/>
      </c>
      <c r="BA69" s="64" t="str">
        <f t="shared" si="52"/>
        <v/>
      </c>
      <c r="BB69" s="64" t="str">
        <f t="shared" si="52"/>
        <v/>
      </c>
      <c r="BC69" s="64" t="str">
        <f t="shared" si="52"/>
        <v/>
      </c>
      <c r="BD69" s="64" t="str">
        <f t="shared" si="52"/>
        <v/>
      </c>
      <c r="BE69" s="64" t="str">
        <f t="shared" si="52"/>
        <v/>
      </c>
      <c r="BF69" s="64" t="str">
        <f t="shared" si="52"/>
        <v/>
      </c>
      <c r="BG69" s="64" t="str">
        <f t="shared" si="52"/>
        <v/>
      </c>
      <c r="BH69" s="64" t="str">
        <f t="shared" si="52"/>
        <v/>
      </c>
      <c r="BI69" s="64" t="str">
        <f t="shared" si="52"/>
        <v/>
      </c>
      <c r="BJ69" s="64" t="str">
        <f t="shared" si="52"/>
        <v/>
      </c>
      <c r="BK69" s="64" t="str">
        <f t="shared" si="52"/>
        <v/>
      </c>
    </row>
    <row r="71" spans="2:63" x14ac:dyDescent="0.25">
      <c r="O71" s="23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</row>
    <row r="74" spans="2:63" x14ac:dyDescent="0.25">
      <c r="B74" s="70" t="s">
        <v>117</v>
      </c>
      <c r="C74" s="71" t="s">
        <v>114</v>
      </c>
      <c r="D74" s="71" t="s">
        <v>118</v>
      </c>
      <c r="E74" s="71" t="s">
        <v>119</v>
      </c>
    </row>
    <row r="75" spans="2:63" x14ac:dyDescent="0.25">
      <c r="B75" s="72">
        <f t="shared" ref="B75:B111" si="53">+E75-D75</f>
        <v>-4.1999999999999996E-2</v>
      </c>
      <c r="C75" s="23">
        <v>45879</v>
      </c>
      <c r="D75" s="64">
        <v>7.5999999999999998E-2</v>
      </c>
      <c r="E75" s="73">
        <v>3.4000000000000002E-2</v>
      </c>
    </row>
    <row r="76" spans="2:63" x14ac:dyDescent="0.25">
      <c r="B76" s="72">
        <f t="shared" si="53"/>
        <v>-8.6888888888889015E-2</v>
      </c>
      <c r="C76" s="23">
        <v>45886</v>
      </c>
      <c r="D76" s="64">
        <v>0.13888888888888901</v>
      </c>
      <c r="E76" s="73">
        <v>5.1999999999999998E-2</v>
      </c>
    </row>
    <row r="77" spans="2:63" x14ac:dyDescent="0.25">
      <c r="B77" s="72">
        <f t="shared" si="53"/>
        <v>-4.9977777777777982E-2</v>
      </c>
      <c r="C77" s="23">
        <v>45894</v>
      </c>
      <c r="D77" s="64">
        <v>0.18777777777777799</v>
      </c>
      <c r="E77" s="73">
        <v>0.13780000000000001</v>
      </c>
    </row>
    <row r="78" spans="2:63" x14ac:dyDescent="0.25">
      <c r="B78" s="72">
        <f t="shared" si="53"/>
        <v>-4.6000000000000013E-2</v>
      </c>
      <c r="C78" s="23">
        <v>45900</v>
      </c>
      <c r="D78" s="64">
        <v>0.22</v>
      </c>
      <c r="E78" s="73">
        <v>0.17399999999999999</v>
      </c>
    </row>
    <row r="79" spans="2:63" x14ac:dyDescent="0.25">
      <c r="B79" s="72">
        <f t="shared" si="53"/>
        <v>-9.9999999999999811E-3</v>
      </c>
      <c r="C79" s="23">
        <v>45907</v>
      </c>
      <c r="D79" s="64">
        <v>0.24</v>
      </c>
      <c r="E79" s="73">
        <v>0.23</v>
      </c>
    </row>
    <row r="80" spans="2:63" x14ac:dyDescent="0.25">
      <c r="B80" s="72">
        <f t="shared" si="53"/>
        <v>-1.5000000000000013E-2</v>
      </c>
      <c r="C80" s="23">
        <v>45914</v>
      </c>
      <c r="D80" s="64">
        <v>0.26500000000000001</v>
      </c>
      <c r="E80" s="73">
        <v>0.25</v>
      </c>
    </row>
    <row r="81" spans="2:5" x14ac:dyDescent="0.25">
      <c r="B81" s="72">
        <f t="shared" si="53"/>
        <v>-9.9999999999999534E-3</v>
      </c>
      <c r="C81" s="23">
        <v>45921</v>
      </c>
      <c r="D81" s="64">
        <v>0.28999999999999998</v>
      </c>
      <c r="E81" s="73">
        <v>0.28000000000000003</v>
      </c>
    </row>
    <row r="82" spans="2:5" x14ac:dyDescent="0.25">
      <c r="B82" s="72">
        <f t="shared" si="53"/>
        <v>7.5000000000000011E-2</v>
      </c>
      <c r="C82" s="23">
        <v>45928</v>
      </c>
      <c r="D82" s="64">
        <v>0.315</v>
      </c>
      <c r="E82" s="73">
        <v>0.39</v>
      </c>
    </row>
    <row r="83" spans="2:5" x14ac:dyDescent="0.25">
      <c r="B83" s="72">
        <f t="shared" si="53"/>
        <v>-0.34</v>
      </c>
      <c r="C83" s="23">
        <v>45935</v>
      </c>
      <c r="D83" s="64">
        <v>0.34</v>
      </c>
      <c r="E83" s="73"/>
    </row>
    <row r="84" spans="2:5" x14ac:dyDescent="0.25">
      <c r="B84" s="72">
        <f t="shared" si="53"/>
        <v>-0.36499999999999999</v>
      </c>
      <c r="C84" s="23">
        <v>45942</v>
      </c>
      <c r="D84" s="64">
        <v>0.36499999999999999</v>
      </c>
      <c r="E84" s="73"/>
    </row>
    <row r="85" spans="2:5" x14ac:dyDescent="0.25">
      <c r="B85" s="72">
        <f t="shared" si="53"/>
        <v>-0.39</v>
      </c>
      <c r="C85" s="23">
        <v>45949</v>
      </c>
      <c r="D85" s="64">
        <v>0.39</v>
      </c>
      <c r="E85" s="73"/>
    </row>
    <row r="86" spans="2:5" x14ac:dyDescent="0.25">
      <c r="B86" s="72">
        <f t="shared" si="53"/>
        <v>-0.41949999999999998</v>
      </c>
      <c r="C86" s="23">
        <v>45956</v>
      </c>
      <c r="D86" s="64">
        <v>0.41949999999999998</v>
      </c>
      <c r="E86" s="73"/>
    </row>
    <row r="87" spans="2:5" x14ac:dyDescent="0.25">
      <c r="B87" s="72">
        <f t="shared" si="53"/>
        <v>-0.45200000000000001</v>
      </c>
      <c r="C87" s="23">
        <v>45963</v>
      </c>
      <c r="D87" s="64">
        <v>0.45200000000000001</v>
      </c>
      <c r="E87" s="73"/>
    </row>
    <row r="88" spans="2:5" x14ac:dyDescent="0.25">
      <c r="B88" s="72">
        <f t="shared" si="53"/>
        <v>-0.48449999999999999</v>
      </c>
      <c r="C88" s="23">
        <v>45970</v>
      </c>
      <c r="D88" s="64">
        <v>0.48449999999999999</v>
      </c>
      <c r="E88" s="73"/>
    </row>
    <row r="89" spans="2:5" x14ac:dyDescent="0.25">
      <c r="B89" s="72">
        <f t="shared" si="53"/>
        <v>-0.51700000000000002</v>
      </c>
      <c r="C89" s="23">
        <v>45977</v>
      </c>
      <c r="D89" s="64">
        <v>0.51700000000000002</v>
      </c>
      <c r="E89" s="73"/>
    </row>
    <row r="90" spans="2:5" x14ac:dyDescent="0.25">
      <c r="B90" s="72">
        <f t="shared" si="53"/>
        <v>-1.0000000000000009E-2</v>
      </c>
      <c r="C90" s="23">
        <v>45984</v>
      </c>
      <c r="D90" s="64">
        <v>0.5</v>
      </c>
      <c r="E90" s="73">
        <v>0.49</v>
      </c>
    </row>
    <row r="91" spans="2:5" x14ac:dyDescent="0.25">
      <c r="B91" s="72">
        <f t="shared" si="53"/>
        <v>-2.0000000000000018E-2</v>
      </c>
      <c r="C91" s="23">
        <v>45991</v>
      </c>
      <c r="D91" s="64">
        <v>0.55000000000000004</v>
      </c>
      <c r="E91" s="73">
        <v>0.53</v>
      </c>
    </row>
    <row r="92" spans="2:5" x14ac:dyDescent="0.25">
      <c r="B92" s="72">
        <f t="shared" si="53"/>
        <v>-0.6</v>
      </c>
      <c r="C92" s="23">
        <v>45998</v>
      </c>
      <c r="D92" s="64">
        <v>0.6</v>
      </c>
      <c r="E92" s="73"/>
    </row>
    <row r="93" spans="2:5" x14ac:dyDescent="0.25">
      <c r="B93" s="72">
        <f t="shared" si="53"/>
        <v>-0.75</v>
      </c>
      <c r="C93" s="23">
        <v>46005</v>
      </c>
      <c r="D93" s="64">
        <v>0.75</v>
      </c>
      <c r="E93" s="73"/>
    </row>
    <row r="94" spans="2:5" x14ac:dyDescent="0.25">
      <c r="B94" s="72">
        <f t="shared" si="53"/>
        <v>-0.9</v>
      </c>
      <c r="C94" s="23">
        <v>46012</v>
      </c>
      <c r="D94" s="64">
        <v>0.9</v>
      </c>
      <c r="E94" s="73"/>
    </row>
    <row r="95" spans="2:5" x14ac:dyDescent="0.25">
      <c r="B95" s="72">
        <f t="shared" si="53"/>
        <v>-0.98</v>
      </c>
      <c r="C95" s="10">
        <v>46019</v>
      </c>
      <c r="D95" s="64">
        <v>0.98</v>
      </c>
      <c r="E95" s="73"/>
    </row>
    <row r="96" spans="2:5" x14ac:dyDescent="0.25">
      <c r="B96" s="72">
        <f t="shared" si="53"/>
        <v>-1</v>
      </c>
      <c r="C96" s="10">
        <v>46026</v>
      </c>
      <c r="D96" s="64">
        <v>1</v>
      </c>
      <c r="E96" s="73"/>
    </row>
    <row r="97" spans="2:5" x14ac:dyDescent="0.25">
      <c r="B97" s="72">
        <f t="shared" si="53"/>
        <v>0</v>
      </c>
      <c r="C97" s="74"/>
      <c r="D97" s="75"/>
      <c r="E97" s="73"/>
    </row>
    <row r="98" spans="2:5" x14ac:dyDescent="0.25">
      <c r="B98" s="72">
        <f t="shared" si="53"/>
        <v>0</v>
      </c>
      <c r="C98" s="74"/>
      <c r="D98" s="75"/>
      <c r="E98" s="73"/>
    </row>
    <row r="99" spans="2:5" x14ac:dyDescent="0.25">
      <c r="B99" s="72">
        <f t="shared" si="53"/>
        <v>0</v>
      </c>
      <c r="C99" s="74"/>
      <c r="D99" s="75"/>
      <c r="E99" s="73"/>
    </row>
    <row r="100" spans="2:5" x14ac:dyDescent="0.25">
      <c r="B100" s="72">
        <f t="shared" si="53"/>
        <v>0</v>
      </c>
      <c r="C100" s="74"/>
      <c r="D100" s="75"/>
      <c r="E100" s="73"/>
    </row>
    <row r="101" spans="2:5" x14ac:dyDescent="0.25">
      <c r="B101" s="72">
        <f t="shared" si="53"/>
        <v>0</v>
      </c>
      <c r="C101" s="74"/>
      <c r="D101" s="75"/>
      <c r="E101" s="73"/>
    </row>
    <row r="102" spans="2:5" x14ac:dyDescent="0.25">
      <c r="B102" s="72">
        <f t="shared" si="53"/>
        <v>0</v>
      </c>
      <c r="C102" s="74"/>
      <c r="D102" s="75"/>
      <c r="E102" s="73"/>
    </row>
    <row r="103" spans="2:5" x14ac:dyDescent="0.25">
      <c r="B103" s="72">
        <f t="shared" si="53"/>
        <v>0</v>
      </c>
      <c r="C103" s="74"/>
      <c r="D103" s="75"/>
      <c r="E103" s="73"/>
    </row>
    <row r="104" spans="2:5" x14ac:dyDescent="0.25">
      <c r="B104" s="72">
        <f t="shared" si="53"/>
        <v>0</v>
      </c>
      <c r="C104" s="74"/>
      <c r="D104" s="75"/>
      <c r="E104" s="73"/>
    </row>
    <row r="105" spans="2:5" x14ac:dyDescent="0.25">
      <c r="B105" s="72">
        <f t="shared" si="53"/>
        <v>0</v>
      </c>
      <c r="C105" s="74"/>
      <c r="D105" s="75"/>
      <c r="E105" s="73"/>
    </row>
    <row r="106" spans="2:5" x14ac:dyDescent="0.25">
      <c r="B106" s="72">
        <f t="shared" si="53"/>
        <v>0</v>
      </c>
      <c r="C106" s="74"/>
      <c r="D106" s="75"/>
      <c r="E106" s="73"/>
    </row>
    <row r="107" spans="2:5" x14ac:dyDescent="0.25">
      <c r="B107" s="72">
        <f t="shared" si="53"/>
        <v>0</v>
      </c>
      <c r="C107" s="74"/>
      <c r="D107" s="75"/>
      <c r="E107" s="73"/>
    </row>
    <row r="108" spans="2:5" x14ac:dyDescent="0.25">
      <c r="B108" s="72">
        <f t="shared" si="53"/>
        <v>0</v>
      </c>
      <c r="C108" s="74"/>
      <c r="D108" s="75"/>
      <c r="E108" s="73"/>
    </row>
    <row r="109" spans="2:5" x14ac:dyDescent="0.25">
      <c r="B109" s="72">
        <f t="shared" si="53"/>
        <v>0</v>
      </c>
      <c r="C109" s="76"/>
      <c r="D109" s="75"/>
      <c r="E109" s="73"/>
    </row>
    <row r="110" spans="2:5" x14ac:dyDescent="0.25">
      <c r="B110" s="72">
        <f t="shared" si="53"/>
        <v>0</v>
      </c>
      <c r="C110" s="76"/>
      <c r="D110" s="75"/>
      <c r="E110" s="73"/>
    </row>
    <row r="111" spans="2:5" x14ac:dyDescent="0.25">
      <c r="B111" s="72">
        <f t="shared" si="53"/>
        <v>0</v>
      </c>
      <c r="C111" s="76"/>
      <c r="D111" s="75"/>
      <c r="E111" s="73"/>
    </row>
    <row r="125" spans="26:26" x14ac:dyDescent="0.25">
      <c r="Z125" s="8">
        <v>1</v>
      </c>
    </row>
  </sheetData>
  <mergeCells count="9">
    <mergeCell ref="C7:D7"/>
    <mergeCell ref="C8:D8"/>
    <mergeCell ref="I18:J18"/>
    <mergeCell ref="K18:L18"/>
    <mergeCell ref="C2:D2"/>
    <mergeCell ref="C3:D3"/>
    <mergeCell ref="C4:D4"/>
    <mergeCell ref="C5:D5"/>
    <mergeCell ref="C6:D6"/>
  </mergeCells>
  <conditionalFormatting sqref="P17:BK20 P66:BK66">
    <cfRule type="cellIs" dxfId="13" priority="3" operator="greaterThan">
      <formula>0</formula>
    </cfRule>
  </conditionalFormatting>
  <conditionalFormatting sqref="P21:BK60">
    <cfRule type="cellIs" dxfId="12" priority="2" operator="greaterThan">
      <formula>0</formula>
    </cfRule>
  </conditionalFormatting>
  <dataValidations count="1">
    <dataValidation type="decimal" allowBlank="1" showErrorMessage="1" errorTitle="Progress tidak valid" error="Isi 0%–100% (mis. 0,5 atau 50%)." sqref="K21 K25:K26 K29:K30 K33:K36 K39:K41 K44:K49 K52:K54 K57:K58 K60" xr:uid="{00000000-0002-0000-0000-000000000000}">
      <formula1>0</formula1>
      <formula2>1</formula2>
    </dataValidation>
  </dataValidation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5703125" defaultRowHeight="15" x14ac:dyDescent="0.25"/>
  <cols>
    <col min="1" max="1" width="13" customWidth="1"/>
    <col min="2" max="2" width="14" customWidth="1"/>
    <col min="3" max="3" width="12" customWidth="1"/>
    <col min="4" max="5" width="17" customWidth="1"/>
    <col min="6" max="6" width="13" customWidth="1"/>
    <col min="7" max="7" width="8" customWidth="1"/>
    <col min="8" max="8" width="10" customWidth="1"/>
    <col min="9" max="9" width="60" customWidth="1"/>
    <col min="10" max="10" width="3" customWidth="1"/>
    <col min="11" max="12" width="18" customWidth="1"/>
    <col min="13" max="13" width="3" customWidth="1"/>
    <col min="14" max="14" width="28" customWidth="1"/>
    <col min="15" max="15" width="10" customWidth="1"/>
  </cols>
  <sheetData>
    <row r="1" spans="1:15" ht="20.25" x14ac:dyDescent="0.3">
      <c r="A1" s="77" t="s">
        <v>120</v>
      </c>
    </row>
    <row r="2" spans="1:15" ht="42" customHeight="1" x14ac:dyDescent="0.25">
      <c r="A2" s="1" t="s">
        <v>121</v>
      </c>
      <c r="B2" s="1"/>
      <c r="C2" s="1"/>
      <c r="D2" s="1"/>
      <c r="E2" s="1"/>
      <c r="F2" s="1"/>
      <c r="G2" s="1"/>
      <c r="H2" s="1"/>
      <c r="I2" s="1"/>
    </row>
    <row r="3" spans="1:15" ht="31.5" customHeight="1" x14ac:dyDescent="0.25">
      <c r="A3" s="78" t="s">
        <v>122</v>
      </c>
      <c r="B3" s="78" t="s">
        <v>123</v>
      </c>
      <c r="C3" s="78" t="s">
        <v>124</v>
      </c>
      <c r="D3" s="78" t="s">
        <v>125</v>
      </c>
      <c r="E3" s="78" t="s">
        <v>126</v>
      </c>
      <c r="F3" s="78" t="s">
        <v>127</v>
      </c>
      <c r="G3" s="78" t="s">
        <v>128</v>
      </c>
      <c r="K3" s="79" t="s">
        <v>129</v>
      </c>
      <c r="L3" s="79" t="s">
        <v>130</v>
      </c>
      <c r="N3" s="80" t="s">
        <v>131</v>
      </c>
      <c r="O3" s="80" t="s">
        <v>132</v>
      </c>
    </row>
    <row r="4" spans="1:15" x14ac:dyDescent="0.25">
      <c r="A4" s="81">
        <f>SCurve!C8</f>
        <v>46156</v>
      </c>
      <c r="B4" s="82">
        <f>COUNTIF(SCurve!$P$17:$BK$17,"&lt;"&amp;SCurve!$C$8)+1</f>
        <v>1</v>
      </c>
      <c r="C4" s="83">
        <f>SCurve!B11</f>
        <v>5.1428571428571428E-2</v>
      </c>
      <c r="D4" s="83">
        <f>SCurve!C11</f>
        <v>5.5E-2</v>
      </c>
      <c r="E4" s="83">
        <f>SCurve!D11</f>
        <v>3.5714285714285726E-3</v>
      </c>
      <c r="F4" s="84">
        <f>IF(C4=0,"",D4/C4)</f>
        <v>1.0694444444444444</v>
      </c>
      <c r="G4" s="85" t="str">
        <f>IF(NOT(ISNUMBER(F4)),"",IF(F4&gt;=$K$4,"Hijau",IF(F4&gt;=$L$4,"Kuning","Merah")))</f>
        <v>Hijau</v>
      </c>
      <c r="K4" s="86">
        <v>0.95</v>
      </c>
      <c r="L4" s="86">
        <v>0.85</v>
      </c>
      <c r="N4" s="87" t="s">
        <v>133</v>
      </c>
      <c r="O4" s="85" t="str">
        <f>IF(ABS(SCurve!C62-1)&lt;0.000001,"OK","CEK")</f>
        <v>OK</v>
      </c>
    </row>
    <row r="5" spans="1:15" x14ac:dyDescent="0.25">
      <c r="K5" s="88" t="s">
        <v>134</v>
      </c>
      <c r="N5" s="87" t="s">
        <v>135</v>
      </c>
      <c r="O5" s="85" t="str">
        <f>IF(ABS(SUM(SCurve!P62:BK62)-1)&lt;0.000001,"OK","CEK")</f>
        <v>OK</v>
      </c>
    </row>
    <row r="6" spans="1:15" x14ac:dyDescent="0.25">
      <c r="N6" s="87" t="s">
        <v>136</v>
      </c>
      <c r="O6" s="85" t="str">
        <f>IF(ABS(SCurve!O62-SCurve!C62)&lt;0.000001,"OK","CEK")</f>
        <v>OK</v>
      </c>
    </row>
    <row r="7" spans="1:15" ht="31.5" customHeight="1" x14ac:dyDescent="0.25">
      <c r="A7" s="89" t="s">
        <v>137</v>
      </c>
      <c r="B7" s="89" t="s">
        <v>138</v>
      </c>
      <c r="C7" s="89" t="s">
        <v>139</v>
      </c>
      <c r="D7" s="89" t="s">
        <v>140</v>
      </c>
      <c r="E7" s="89" t="s">
        <v>141</v>
      </c>
      <c r="F7" s="89" t="s">
        <v>126</v>
      </c>
      <c r="G7" s="89" t="s">
        <v>127</v>
      </c>
      <c r="H7" s="89" t="s">
        <v>128</v>
      </c>
      <c r="I7" s="89" t="s">
        <v>142</v>
      </c>
    </row>
    <row r="8" spans="1:15" ht="38.25" x14ac:dyDescent="0.25">
      <c r="A8" s="90">
        <v>1</v>
      </c>
      <c r="B8" s="91">
        <f>INDEX(SCurve!$P$16:$BK$16,A8)</f>
        <v>46149</v>
      </c>
      <c r="C8" s="91">
        <f>INDEX(SCurve!$P$17:$BK$17,A8)</f>
        <v>46156</v>
      </c>
      <c r="D8" s="92">
        <v>5.5E-2</v>
      </c>
      <c r="E8" s="93">
        <f>INDEX(SCurve!$P$67:$BK$67,A8)</f>
        <v>5.1428571428571435E-2</v>
      </c>
      <c r="F8" s="93">
        <f t="shared" ref="F8:F55" si="0">IF(ISNUMBER(D8),D8-E8,"")</f>
        <v>3.5714285714285657E-3</v>
      </c>
      <c r="G8" s="94">
        <f t="shared" ref="G8:G55" si="1">IF(ISNUMBER(D8),IF(E8=0,"",D8/E8),"")</f>
        <v>1.0694444444444444</v>
      </c>
      <c r="H8" s="90" t="str">
        <f t="shared" ref="H8:H55" si="2">IF(NOT(ISNUMBER(G8)),"",IF(G8&gt;=$K$4,"Hijau",IF(G8&gt;=$L$4,"Kuning","Merah")))</f>
        <v>Hijau</v>
      </c>
      <c r="I8" s="95" t="s">
        <v>143</v>
      </c>
    </row>
    <row r="9" spans="1:15" x14ac:dyDescent="0.25">
      <c r="A9" s="90">
        <v>2</v>
      </c>
      <c r="B9" s="91">
        <f>INDEX(SCurve!$P$16:$BK$16,A9)</f>
        <v>46157</v>
      </c>
      <c r="C9" s="91">
        <f>INDEX(SCurve!$P$17:$BK$17,A9)</f>
        <v>46163</v>
      </c>
      <c r="D9" s="92"/>
      <c r="E9" s="93">
        <f>INDEX(SCurve!$P$67:$BK$67,A9)</f>
        <v>0.1</v>
      </c>
      <c r="F9" s="93" t="str">
        <f t="shared" si="0"/>
        <v/>
      </c>
      <c r="G9" s="94" t="str">
        <f t="shared" si="1"/>
        <v/>
      </c>
      <c r="H9" s="90" t="str">
        <f t="shared" si="2"/>
        <v/>
      </c>
      <c r="I9" s="95"/>
    </row>
    <row r="10" spans="1:15" x14ac:dyDescent="0.25">
      <c r="A10" s="90">
        <v>3</v>
      </c>
      <c r="B10" s="91">
        <f>INDEX(SCurve!$P$16:$BK$16,A10)</f>
        <v>46164</v>
      </c>
      <c r="C10" s="91">
        <f>INDEX(SCurve!$P$17:$BK$17,A10)</f>
        <v>46170</v>
      </c>
      <c r="D10" s="92"/>
      <c r="E10" s="93">
        <f>INDEX(SCurve!$P$67:$BK$67,A10)</f>
        <v>0.15000000000000002</v>
      </c>
      <c r="F10" s="93" t="str">
        <f t="shared" si="0"/>
        <v/>
      </c>
      <c r="G10" s="94" t="str">
        <f t="shared" si="1"/>
        <v/>
      </c>
      <c r="H10" s="90" t="str">
        <f t="shared" si="2"/>
        <v/>
      </c>
      <c r="I10" s="95"/>
    </row>
    <row r="11" spans="1:15" x14ac:dyDescent="0.25">
      <c r="A11" s="90">
        <v>4</v>
      </c>
      <c r="B11" s="91">
        <f>INDEX(SCurve!$P$16:$BK$16,A11)</f>
        <v>46171</v>
      </c>
      <c r="C11" s="91">
        <f>INDEX(SCurve!$P$17:$BK$17,A11)</f>
        <v>46177</v>
      </c>
      <c r="D11" s="92"/>
      <c r="E11" s="93">
        <f>INDEX(SCurve!$P$67:$BK$67,A11)</f>
        <v>0.22000000000000003</v>
      </c>
      <c r="F11" s="93" t="str">
        <f t="shared" si="0"/>
        <v/>
      </c>
      <c r="G11" s="94" t="str">
        <f t="shared" si="1"/>
        <v/>
      </c>
      <c r="H11" s="90" t="str">
        <f t="shared" si="2"/>
        <v/>
      </c>
      <c r="I11" s="95"/>
    </row>
    <row r="12" spans="1:15" x14ac:dyDescent="0.25">
      <c r="A12" s="90">
        <v>5</v>
      </c>
      <c r="B12" s="91">
        <f>INDEX(SCurve!$P$16:$BK$16,A12)</f>
        <v>46178</v>
      </c>
      <c r="C12" s="91">
        <f>INDEX(SCurve!$P$17:$BK$17,A12)</f>
        <v>46184</v>
      </c>
      <c r="D12" s="92"/>
      <c r="E12" s="93">
        <f>INDEX(SCurve!$P$67:$BK$67,A12)</f>
        <v>0.35000000000000003</v>
      </c>
      <c r="F12" s="93" t="str">
        <f t="shared" si="0"/>
        <v/>
      </c>
      <c r="G12" s="94" t="str">
        <f t="shared" si="1"/>
        <v/>
      </c>
      <c r="H12" s="90" t="str">
        <f t="shared" si="2"/>
        <v/>
      </c>
      <c r="I12" s="95"/>
    </row>
    <row r="13" spans="1:15" x14ac:dyDescent="0.25">
      <c r="A13" s="90">
        <v>6</v>
      </c>
      <c r="B13" s="91">
        <f>INDEX(SCurve!$P$16:$BK$16,A13)</f>
        <v>46185</v>
      </c>
      <c r="C13" s="91">
        <f>INDEX(SCurve!$P$17:$BK$17,A13)</f>
        <v>46191</v>
      </c>
      <c r="D13" s="92"/>
      <c r="E13" s="93">
        <f>INDEX(SCurve!$P$67:$BK$67,A13)</f>
        <v>0.41050420168067231</v>
      </c>
      <c r="F13" s="93" t="str">
        <f t="shared" si="0"/>
        <v/>
      </c>
      <c r="G13" s="94" t="str">
        <f t="shared" si="1"/>
        <v/>
      </c>
      <c r="H13" s="90" t="str">
        <f t="shared" si="2"/>
        <v/>
      </c>
      <c r="I13" s="95"/>
    </row>
    <row r="14" spans="1:15" x14ac:dyDescent="0.25">
      <c r="A14" s="90">
        <v>7</v>
      </c>
      <c r="B14" s="91">
        <f>INDEX(SCurve!$P$16:$BK$16,A14)</f>
        <v>46192</v>
      </c>
      <c r="C14" s="91">
        <f>INDEX(SCurve!$P$17:$BK$17,A14)</f>
        <v>46198</v>
      </c>
      <c r="D14" s="92"/>
      <c r="E14" s="93">
        <f>INDEX(SCurve!$P$67:$BK$67,A14)</f>
        <v>0.50819327731092445</v>
      </c>
      <c r="F14" s="93" t="str">
        <f t="shared" si="0"/>
        <v/>
      </c>
      <c r="G14" s="94" t="str">
        <f t="shared" si="1"/>
        <v/>
      </c>
      <c r="H14" s="90" t="str">
        <f t="shared" si="2"/>
        <v/>
      </c>
      <c r="I14" s="95"/>
    </row>
    <row r="15" spans="1:15" x14ac:dyDescent="0.25">
      <c r="A15" s="90">
        <v>8</v>
      </c>
      <c r="B15" s="91">
        <f>INDEX(SCurve!$P$16:$BK$16,A15)</f>
        <v>46199</v>
      </c>
      <c r="C15" s="91">
        <f>INDEX(SCurve!$P$17:$BK$17,A15)</f>
        <v>46205</v>
      </c>
      <c r="D15" s="92"/>
      <c r="E15" s="93">
        <f>INDEX(SCurve!$P$67:$BK$67,A15)</f>
        <v>0.60588235294117654</v>
      </c>
      <c r="F15" s="93" t="str">
        <f t="shared" si="0"/>
        <v/>
      </c>
      <c r="G15" s="94" t="str">
        <f t="shared" si="1"/>
        <v/>
      </c>
      <c r="H15" s="90" t="str">
        <f t="shared" si="2"/>
        <v/>
      </c>
      <c r="I15" s="95"/>
    </row>
    <row r="16" spans="1:15" x14ac:dyDescent="0.25">
      <c r="A16" s="90">
        <v>9</v>
      </c>
      <c r="B16" s="91">
        <f>INDEX(SCurve!$P$16:$BK$16,A16)</f>
        <v>46206</v>
      </c>
      <c r="C16" s="91">
        <f>INDEX(SCurve!$P$17:$BK$17,A16)</f>
        <v>46212</v>
      </c>
      <c r="D16" s="92"/>
      <c r="E16" s="93">
        <f>INDEX(SCurve!$P$67:$BK$67,A16)</f>
        <v>0.65</v>
      </c>
      <c r="F16" s="93" t="str">
        <f t="shared" si="0"/>
        <v/>
      </c>
      <c r="G16" s="94" t="str">
        <f t="shared" si="1"/>
        <v/>
      </c>
      <c r="H16" s="90" t="str">
        <f t="shared" si="2"/>
        <v/>
      </c>
      <c r="I16" s="95"/>
    </row>
    <row r="17" spans="1:9" x14ac:dyDescent="0.25">
      <c r="A17" s="90">
        <v>10</v>
      </c>
      <c r="B17" s="91">
        <f>INDEX(SCurve!$P$16:$BK$16,A17)</f>
        <v>46213</v>
      </c>
      <c r="C17" s="91">
        <f>INDEX(SCurve!$P$17:$BK$17,A17)</f>
        <v>46219</v>
      </c>
      <c r="D17" s="92"/>
      <c r="E17" s="93">
        <f>INDEX(SCurve!$P$67:$BK$67,A17)</f>
        <v>0.77</v>
      </c>
      <c r="F17" s="93" t="str">
        <f t="shared" si="0"/>
        <v/>
      </c>
      <c r="G17" s="94" t="str">
        <f t="shared" si="1"/>
        <v/>
      </c>
      <c r="H17" s="90" t="str">
        <f t="shared" si="2"/>
        <v/>
      </c>
      <c r="I17" s="95"/>
    </row>
    <row r="18" spans="1:9" x14ac:dyDescent="0.25">
      <c r="A18" s="90">
        <v>11</v>
      </c>
      <c r="B18" s="91">
        <f>INDEX(SCurve!$P$16:$BK$16,A18)</f>
        <v>46220</v>
      </c>
      <c r="C18" s="91">
        <f>INDEX(SCurve!$P$17:$BK$17,A18)</f>
        <v>46226</v>
      </c>
      <c r="D18" s="92"/>
      <c r="E18" s="93">
        <f>INDEX(SCurve!$P$67:$BK$67,A18)</f>
        <v>0.79249999999999998</v>
      </c>
      <c r="F18" s="93" t="str">
        <f t="shared" si="0"/>
        <v/>
      </c>
      <c r="G18" s="94" t="str">
        <f t="shared" si="1"/>
        <v/>
      </c>
      <c r="H18" s="90" t="str">
        <f t="shared" si="2"/>
        <v/>
      </c>
      <c r="I18" s="95"/>
    </row>
    <row r="19" spans="1:9" x14ac:dyDescent="0.25">
      <c r="A19" s="90">
        <v>12</v>
      </c>
      <c r="B19" s="91">
        <f>INDEX(SCurve!$P$16:$BK$16,A19)</f>
        <v>46227</v>
      </c>
      <c r="C19" s="91">
        <f>INDEX(SCurve!$P$17:$BK$17,A19)</f>
        <v>46233</v>
      </c>
      <c r="D19" s="92"/>
      <c r="E19" s="93">
        <f>INDEX(SCurve!$P$67:$BK$67,A19)</f>
        <v>0.81333333333333335</v>
      </c>
      <c r="F19" s="93" t="str">
        <f t="shared" si="0"/>
        <v/>
      </c>
      <c r="G19" s="94" t="str">
        <f t="shared" si="1"/>
        <v/>
      </c>
      <c r="H19" s="90" t="str">
        <f t="shared" si="2"/>
        <v/>
      </c>
      <c r="I19" s="95"/>
    </row>
    <row r="20" spans="1:9" x14ac:dyDescent="0.25">
      <c r="A20" s="90">
        <v>13</v>
      </c>
      <c r="B20" s="91">
        <f>INDEX(SCurve!$P$16:$BK$16,A20)</f>
        <v>46234</v>
      </c>
      <c r="C20" s="91">
        <f>INDEX(SCurve!$P$17:$BK$17,A20)</f>
        <v>46240</v>
      </c>
      <c r="D20" s="92"/>
      <c r="E20" s="93">
        <f>INDEX(SCurve!$P$67:$BK$67,A20)</f>
        <v>0.84</v>
      </c>
      <c r="F20" s="93" t="str">
        <f t="shared" si="0"/>
        <v/>
      </c>
      <c r="G20" s="94" t="str">
        <f t="shared" si="1"/>
        <v/>
      </c>
      <c r="H20" s="90" t="str">
        <f t="shared" si="2"/>
        <v/>
      </c>
      <c r="I20" s="95"/>
    </row>
    <row r="21" spans="1:9" x14ac:dyDescent="0.25">
      <c r="A21" s="90">
        <v>14</v>
      </c>
      <c r="B21" s="91">
        <f>INDEX(SCurve!$P$16:$BK$16,A21)</f>
        <v>46241</v>
      </c>
      <c r="C21" s="91">
        <f>INDEX(SCurve!$P$17:$BK$17,A21)</f>
        <v>46247</v>
      </c>
      <c r="D21" s="92"/>
      <c r="E21" s="93">
        <f>INDEX(SCurve!$P$67:$BK$67,A21)</f>
        <v>0.88</v>
      </c>
      <c r="F21" s="93" t="str">
        <f t="shared" si="0"/>
        <v/>
      </c>
      <c r="G21" s="94" t="str">
        <f t="shared" si="1"/>
        <v/>
      </c>
      <c r="H21" s="90" t="str">
        <f t="shared" si="2"/>
        <v/>
      </c>
      <c r="I21" s="95"/>
    </row>
    <row r="22" spans="1:9" x14ac:dyDescent="0.25">
      <c r="A22" s="90">
        <v>15</v>
      </c>
      <c r="B22" s="91">
        <f>INDEX(SCurve!$P$16:$BK$16,A22)</f>
        <v>46248</v>
      </c>
      <c r="C22" s="91">
        <f>INDEX(SCurve!$P$17:$BK$17,A22)</f>
        <v>46254</v>
      </c>
      <c r="D22" s="92"/>
      <c r="E22" s="93">
        <f>INDEX(SCurve!$P$67:$BK$67,A22)</f>
        <v>0.93</v>
      </c>
      <c r="F22" s="93" t="str">
        <f t="shared" si="0"/>
        <v/>
      </c>
      <c r="G22" s="94" t="str">
        <f t="shared" si="1"/>
        <v/>
      </c>
      <c r="H22" s="90" t="str">
        <f t="shared" si="2"/>
        <v/>
      </c>
      <c r="I22" s="95"/>
    </row>
    <row r="23" spans="1:9" x14ac:dyDescent="0.25">
      <c r="A23" s="90">
        <v>16</v>
      </c>
      <c r="B23" s="91">
        <f>INDEX(SCurve!$P$16:$BK$16,A23)</f>
        <v>46255</v>
      </c>
      <c r="C23" s="91">
        <f>INDEX(SCurve!$P$17:$BK$17,A23)</f>
        <v>46261</v>
      </c>
      <c r="D23" s="92"/>
      <c r="E23" s="93">
        <f>INDEX(SCurve!$P$67:$BK$67,A23)</f>
        <v>0.99</v>
      </c>
      <c r="F23" s="93" t="str">
        <f t="shared" si="0"/>
        <v/>
      </c>
      <c r="G23" s="94" t="str">
        <f t="shared" si="1"/>
        <v/>
      </c>
      <c r="H23" s="90" t="str">
        <f t="shared" si="2"/>
        <v/>
      </c>
      <c r="I23" s="95"/>
    </row>
    <row r="24" spans="1:9" x14ac:dyDescent="0.25">
      <c r="A24" s="90">
        <v>17</v>
      </c>
      <c r="B24" s="91">
        <f>INDEX(SCurve!$P$16:$BK$16,A24)</f>
        <v>46262</v>
      </c>
      <c r="C24" s="91">
        <f>INDEX(SCurve!$P$17:$BK$17,A24)</f>
        <v>46268</v>
      </c>
      <c r="D24" s="92"/>
      <c r="E24" s="93">
        <f>INDEX(SCurve!$P$67:$BK$67,A24)</f>
        <v>1</v>
      </c>
      <c r="F24" s="93" t="str">
        <f t="shared" si="0"/>
        <v/>
      </c>
      <c r="G24" s="94" t="str">
        <f t="shared" si="1"/>
        <v/>
      </c>
      <c r="H24" s="90" t="str">
        <f t="shared" si="2"/>
        <v/>
      </c>
      <c r="I24" s="95"/>
    </row>
    <row r="25" spans="1:9" x14ac:dyDescent="0.25">
      <c r="A25" s="90">
        <v>18</v>
      </c>
      <c r="B25" s="91">
        <f>INDEX(SCurve!$P$16:$BK$16,A25)</f>
        <v>46269</v>
      </c>
      <c r="C25" s="91">
        <f>INDEX(SCurve!$P$17:$BK$17,A25)</f>
        <v>46275</v>
      </c>
      <c r="D25" s="92"/>
      <c r="E25" s="93">
        <f>INDEX(SCurve!$P$67:$BK$67,A25)</f>
        <v>1</v>
      </c>
      <c r="F25" s="93" t="str">
        <f t="shared" si="0"/>
        <v/>
      </c>
      <c r="G25" s="94" t="str">
        <f t="shared" si="1"/>
        <v/>
      </c>
      <c r="H25" s="90" t="str">
        <f t="shared" si="2"/>
        <v/>
      </c>
      <c r="I25" s="95"/>
    </row>
    <row r="26" spans="1:9" x14ac:dyDescent="0.25">
      <c r="A26" s="90">
        <v>19</v>
      </c>
      <c r="B26" s="91">
        <f>INDEX(SCurve!$P$16:$BK$16,A26)</f>
        <v>46276</v>
      </c>
      <c r="C26" s="91">
        <f>INDEX(SCurve!$P$17:$BK$17,A26)</f>
        <v>46282</v>
      </c>
      <c r="D26" s="92"/>
      <c r="E26" s="93">
        <f>INDEX(SCurve!$P$67:$BK$67,A26)</f>
        <v>1</v>
      </c>
      <c r="F26" s="93" t="str">
        <f t="shared" si="0"/>
        <v/>
      </c>
      <c r="G26" s="94" t="str">
        <f t="shared" si="1"/>
        <v/>
      </c>
      <c r="H26" s="90" t="str">
        <f t="shared" si="2"/>
        <v/>
      </c>
      <c r="I26" s="95"/>
    </row>
    <row r="27" spans="1:9" x14ac:dyDescent="0.25">
      <c r="A27" s="90">
        <v>20</v>
      </c>
      <c r="B27" s="91">
        <f>INDEX(SCurve!$P$16:$BK$16,A27)</f>
        <v>46283</v>
      </c>
      <c r="C27" s="91">
        <f>INDEX(SCurve!$P$17:$BK$17,A27)</f>
        <v>46289</v>
      </c>
      <c r="D27" s="92"/>
      <c r="E27" s="93">
        <f>INDEX(SCurve!$P$67:$BK$67,A27)</f>
        <v>1</v>
      </c>
      <c r="F27" s="93" t="str">
        <f t="shared" si="0"/>
        <v/>
      </c>
      <c r="G27" s="94" t="str">
        <f t="shared" si="1"/>
        <v/>
      </c>
      <c r="H27" s="90" t="str">
        <f t="shared" si="2"/>
        <v/>
      </c>
      <c r="I27" s="95"/>
    </row>
    <row r="28" spans="1:9" x14ac:dyDescent="0.25">
      <c r="A28" s="90">
        <v>21</v>
      </c>
      <c r="B28" s="91">
        <f>INDEX(SCurve!$P$16:$BK$16,A28)</f>
        <v>46290</v>
      </c>
      <c r="C28" s="91">
        <f>INDEX(SCurve!$P$17:$BK$17,A28)</f>
        <v>46296</v>
      </c>
      <c r="D28" s="92"/>
      <c r="E28" s="93">
        <f>INDEX(SCurve!$P$67:$BK$67,A28)</f>
        <v>1</v>
      </c>
      <c r="F28" s="93" t="str">
        <f t="shared" si="0"/>
        <v/>
      </c>
      <c r="G28" s="94" t="str">
        <f t="shared" si="1"/>
        <v/>
      </c>
      <c r="H28" s="90" t="str">
        <f t="shared" si="2"/>
        <v/>
      </c>
      <c r="I28" s="95"/>
    </row>
    <row r="29" spans="1:9" x14ac:dyDescent="0.25">
      <c r="A29" s="90">
        <v>22</v>
      </c>
      <c r="B29" s="91">
        <f>INDEX(SCurve!$P$16:$BK$16,A29)</f>
        <v>46297</v>
      </c>
      <c r="C29" s="91">
        <f>INDEX(SCurve!$P$17:$BK$17,A29)</f>
        <v>46303</v>
      </c>
      <c r="D29" s="92"/>
      <c r="E29" s="93">
        <f>INDEX(SCurve!$P$67:$BK$67,A29)</f>
        <v>1</v>
      </c>
      <c r="F29" s="93" t="str">
        <f t="shared" si="0"/>
        <v/>
      </c>
      <c r="G29" s="94" t="str">
        <f t="shared" si="1"/>
        <v/>
      </c>
      <c r="H29" s="90" t="str">
        <f t="shared" si="2"/>
        <v/>
      </c>
      <c r="I29" s="95"/>
    </row>
    <row r="30" spans="1:9" x14ac:dyDescent="0.25">
      <c r="A30" s="90">
        <v>23</v>
      </c>
      <c r="B30" s="91">
        <f>INDEX(SCurve!$P$16:$BK$16,A30)</f>
        <v>46304</v>
      </c>
      <c r="C30" s="91">
        <f>INDEX(SCurve!$P$17:$BK$17,A30)</f>
        <v>46310</v>
      </c>
      <c r="D30" s="92"/>
      <c r="E30" s="93">
        <f>INDEX(SCurve!$P$67:$BK$67,A30)</f>
        <v>1</v>
      </c>
      <c r="F30" s="93" t="str">
        <f t="shared" si="0"/>
        <v/>
      </c>
      <c r="G30" s="94" t="str">
        <f t="shared" si="1"/>
        <v/>
      </c>
      <c r="H30" s="90" t="str">
        <f t="shared" si="2"/>
        <v/>
      </c>
      <c r="I30" s="95"/>
    </row>
    <row r="31" spans="1:9" x14ac:dyDescent="0.25">
      <c r="A31" s="90">
        <v>24</v>
      </c>
      <c r="B31" s="91">
        <f>INDEX(SCurve!$P$16:$BK$16,A31)</f>
        <v>46311</v>
      </c>
      <c r="C31" s="91">
        <f>INDEX(SCurve!$P$17:$BK$17,A31)</f>
        <v>46317</v>
      </c>
      <c r="D31" s="92"/>
      <c r="E31" s="93">
        <f>INDEX(SCurve!$P$67:$BK$67,A31)</f>
        <v>1</v>
      </c>
      <c r="F31" s="93" t="str">
        <f t="shared" si="0"/>
        <v/>
      </c>
      <c r="G31" s="94" t="str">
        <f t="shared" si="1"/>
        <v/>
      </c>
      <c r="H31" s="90" t="str">
        <f t="shared" si="2"/>
        <v/>
      </c>
      <c r="I31" s="95"/>
    </row>
    <row r="32" spans="1:9" x14ac:dyDescent="0.25">
      <c r="A32" s="90">
        <v>25</v>
      </c>
      <c r="B32" s="91">
        <f>INDEX(SCurve!$P$16:$BK$16,A32)</f>
        <v>46318</v>
      </c>
      <c r="C32" s="91">
        <f>INDEX(SCurve!$P$17:$BK$17,A32)</f>
        <v>46324</v>
      </c>
      <c r="D32" s="92"/>
      <c r="E32" s="93">
        <f>INDEX(SCurve!$P$67:$BK$67,A32)</f>
        <v>1</v>
      </c>
      <c r="F32" s="93" t="str">
        <f t="shared" si="0"/>
        <v/>
      </c>
      <c r="G32" s="94" t="str">
        <f t="shared" si="1"/>
        <v/>
      </c>
      <c r="H32" s="90" t="str">
        <f t="shared" si="2"/>
        <v/>
      </c>
      <c r="I32" s="95"/>
    </row>
    <row r="33" spans="1:9" x14ac:dyDescent="0.25">
      <c r="A33" s="90">
        <v>26</v>
      </c>
      <c r="B33" s="91">
        <f>INDEX(SCurve!$P$16:$BK$16,A33)</f>
        <v>46325</v>
      </c>
      <c r="C33" s="91">
        <f>INDEX(SCurve!$P$17:$BK$17,A33)</f>
        <v>46331</v>
      </c>
      <c r="D33" s="92"/>
      <c r="E33" s="93">
        <f>INDEX(SCurve!$P$67:$BK$67,A33)</f>
        <v>1</v>
      </c>
      <c r="F33" s="93" t="str">
        <f t="shared" si="0"/>
        <v/>
      </c>
      <c r="G33" s="94" t="str">
        <f t="shared" si="1"/>
        <v/>
      </c>
      <c r="H33" s="90" t="str">
        <f t="shared" si="2"/>
        <v/>
      </c>
      <c r="I33" s="95"/>
    </row>
    <row r="34" spans="1:9" x14ac:dyDescent="0.25">
      <c r="A34" s="90">
        <v>27</v>
      </c>
      <c r="B34" s="91">
        <f>INDEX(SCurve!$P$16:$BK$16,A34)</f>
        <v>46332</v>
      </c>
      <c r="C34" s="91">
        <f>INDEX(SCurve!$P$17:$BK$17,A34)</f>
        <v>46338</v>
      </c>
      <c r="D34" s="92"/>
      <c r="E34" s="93">
        <f>INDEX(SCurve!$P$67:$BK$67,A34)</f>
        <v>1</v>
      </c>
      <c r="F34" s="93" t="str">
        <f t="shared" si="0"/>
        <v/>
      </c>
      <c r="G34" s="94" t="str">
        <f t="shared" si="1"/>
        <v/>
      </c>
      <c r="H34" s="90" t="str">
        <f t="shared" si="2"/>
        <v/>
      </c>
      <c r="I34" s="95"/>
    </row>
    <row r="35" spans="1:9" x14ac:dyDescent="0.25">
      <c r="A35" s="90">
        <v>28</v>
      </c>
      <c r="B35" s="91">
        <f>INDEX(SCurve!$P$16:$BK$16,A35)</f>
        <v>46339</v>
      </c>
      <c r="C35" s="91">
        <f>INDEX(SCurve!$P$17:$BK$17,A35)</f>
        <v>46345</v>
      </c>
      <c r="D35" s="92"/>
      <c r="E35" s="93">
        <f>INDEX(SCurve!$P$67:$BK$67,A35)</f>
        <v>1</v>
      </c>
      <c r="F35" s="93" t="str">
        <f t="shared" si="0"/>
        <v/>
      </c>
      <c r="G35" s="94" t="str">
        <f t="shared" si="1"/>
        <v/>
      </c>
      <c r="H35" s="90" t="str">
        <f t="shared" si="2"/>
        <v/>
      </c>
      <c r="I35" s="95"/>
    </row>
    <row r="36" spans="1:9" x14ac:dyDescent="0.25">
      <c r="A36" s="90">
        <v>29</v>
      </c>
      <c r="B36" s="91">
        <f>INDEX(SCurve!$P$16:$BK$16,A36)</f>
        <v>46346</v>
      </c>
      <c r="C36" s="91">
        <f>INDEX(SCurve!$P$17:$BK$17,A36)</f>
        <v>46352</v>
      </c>
      <c r="D36" s="92"/>
      <c r="E36" s="93">
        <f>INDEX(SCurve!$P$67:$BK$67,A36)</f>
        <v>1</v>
      </c>
      <c r="F36" s="93" t="str">
        <f t="shared" si="0"/>
        <v/>
      </c>
      <c r="G36" s="94" t="str">
        <f t="shared" si="1"/>
        <v/>
      </c>
      <c r="H36" s="90" t="str">
        <f t="shared" si="2"/>
        <v/>
      </c>
      <c r="I36" s="95"/>
    </row>
    <row r="37" spans="1:9" x14ac:dyDescent="0.25">
      <c r="A37" s="90">
        <v>30</v>
      </c>
      <c r="B37" s="91">
        <f>INDEX(SCurve!$P$16:$BK$16,A37)</f>
        <v>46353</v>
      </c>
      <c r="C37" s="91">
        <f>INDEX(SCurve!$P$17:$BK$17,A37)</f>
        <v>46359</v>
      </c>
      <c r="D37" s="92"/>
      <c r="E37" s="93">
        <f>INDEX(SCurve!$P$67:$BK$67,A37)</f>
        <v>1</v>
      </c>
      <c r="F37" s="93" t="str">
        <f t="shared" si="0"/>
        <v/>
      </c>
      <c r="G37" s="94" t="str">
        <f t="shared" si="1"/>
        <v/>
      </c>
      <c r="H37" s="90" t="str">
        <f t="shared" si="2"/>
        <v/>
      </c>
      <c r="I37" s="95"/>
    </row>
    <row r="38" spans="1:9" x14ac:dyDescent="0.25">
      <c r="A38" s="90">
        <v>31</v>
      </c>
      <c r="B38" s="91">
        <f>INDEX(SCurve!$P$16:$BK$16,A38)</f>
        <v>46360</v>
      </c>
      <c r="C38" s="91">
        <f>INDEX(SCurve!$P$17:$BK$17,A38)</f>
        <v>46366</v>
      </c>
      <c r="D38" s="92"/>
      <c r="E38" s="93">
        <f>INDEX(SCurve!$P$67:$BK$67,A38)</f>
        <v>1</v>
      </c>
      <c r="F38" s="93" t="str">
        <f t="shared" si="0"/>
        <v/>
      </c>
      <c r="G38" s="94" t="str">
        <f t="shared" si="1"/>
        <v/>
      </c>
      <c r="H38" s="90" t="str">
        <f t="shared" si="2"/>
        <v/>
      </c>
      <c r="I38" s="95"/>
    </row>
    <row r="39" spans="1:9" x14ac:dyDescent="0.25">
      <c r="A39" s="90">
        <v>32</v>
      </c>
      <c r="B39" s="91">
        <f>INDEX(SCurve!$P$16:$BK$16,A39)</f>
        <v>46367</v>
      </c>
      <c r="C39" s="91">
        <f>INDEX(SCurve!$P$17:$BK$17,A39)</f>
        <v>46373</v>
      </c>
      <c r="D39" s="92"/>
      <c r="E39" s="93">
        <f>INDEX(SCurve!$P$67:$BK$67,A39)</f>
        <v>1</v>
      </c>
      <c r="F39" s="93" t="str">
        <f t="shared" si="0"/>
        <v/>
      </c>
      <c r="G39" s="94" t="str">
        <f t="shared" si="1"/>
        <v/>
      </c>
      <c r="H39" s="90" t="str">
        <f t="shared" si="2"/>
        <v/>
      </c>
      <c r="I39" s="95"/>
    </row>
    <row r="40" spans="1:9" x14ac:dyDescent="0.25">
      <c r="A40" s="90">
        <v>33</v>
      </c>
      <c r="B40" s="91">
        <f>INDEX(SCurve!$P$16:$BK$16,A40)</f>
        <v>46374</v>
      </c>
      <c r="C40" s="91">
        <f>INDEX(SCurve!$P$17:$BK$17,A40)</f>
        <v>46380</v>
      </c>
      <c r="D40" s="92"/>
      <c r="E40" s="93">
        <f>INDEX(SCurve!$P$67:$BK$67,A40)</f>
        <v>1</v>
      </c>
      <c r="F40" s="93" t="str">
        <f t="shared" si="0"/>
        <v/>
      </c>
      <c r="G40" s="94" t="str">
        <f t="shared" si="1"/>
        <v/>
      </c>
      <c r="H40" s="90" t="str">
        <f t="shared" si="2"/>
        <v/>
      </c>
      <c r="I40" s="95"/>
    </row>
    <row r="41" spans="1:9" x14ac:dyDescent="0.25">
      <c r="A41" s="90">
        <v>34</v>
      </c>
      <c r="B41" s="91">
        <f>INDEX(SCurve!$P$16:$BK$16,A41)</f>
        <v>46381</v>
      </c>
      <c r="C41" s="91">
        <f>INDEX(SCurve!$P$17:$BK$17,A41)</f>
        <v>46387</v>
      </c>
      <c r="D41" s="92"/>
      <c r="E41" s="93">
        <f>INDEX(SCurve!$P$67:$BK$67,A41)</f>
        <v>1</v>
      </c>
      <c r="F41" s="93" t="str">
        <f t="shared" si="0"/>
        <v/>
      </c>
      <c r="G41" s="94" t="str">
        <f t="shared" si="1"/>
        <v/>
      </c>
      <c r="H41" s="90" t="str">
        <f t="shared" si="2"/>
        <v/>
      </c>
      <c r="I41" s="95"/>
    </row>
    <row r="42" spans="1:9" x14ac:dyDescent="0.25">
      <c r="A42" s="90">
        <v>35</v>
      </c>
      <c r="B42" s="91">
        <f>INDEX(SCurve!$P$16:$BK$16,A42)</f>
        <v>46388</v>
      </c>
      <c r="C42" s="91">
        <f>INDEX(SCurve!$P$17:$BK$17,A42)</f>
        <v>46394</v>
      </c>
      <c r="D42" s="92"/>
      <c r="E42" s="93">
        <f>INDEX(SCurve!$P$67:$BK$67,A42)</f>
        <v>1</v>
      </c>
      <c r="F42" s="93" t="str">
        <f t="shared" si="0"/>
        <v/>
      </c>
      <c r="G42" s="94" t="str">
        <f t="shared" si="1"/>
        <v/>
      </c>
      <c r="H42" s="90" t="str">
        <f t="shared" si="2"/>
        <v/>
      </c>
      <c r="I42" s="95"/>
    </row>
    <row r="43" spans="1:9" x14ac:dyDescent="0.25">
      <c r="A43" s="90">
        <v>36</v>
      </c>
      <c r="B43" s="91">
        <f>INDEX(SCurve!$P$16:$BK$16,A43)</f>
        <v>46395</v>
      </c>
      <c r="C43" s="91">
        <f>INDEX(SCurve!$P$17:$BK$17,A43)</f>
        <v>46401</v>
      </c>
      <c r="D43" s="92"/>
      <c r="E43" s="93">
        <f>INDEX(SCurve!$P$67:$BK$67,A43)</f>
        <v>1</v>
      </c>
      <c r="F43" s="93" t="str">
        <f t="shared" si="0"/>
        <v/>
      </c>
      <c r="G43" s="94" t="str">
        <f t="shared" si="1"/>
        <v/>
      </c>
      <c r="H43" s="90" t="str">
        <f t="shared" si="2"/>
        <v/>
      </c>
      <c r="I43" s="95"/>
    </row>
    <row r="44" spans="1:9" x14ac:dyDescent="0.25">
      <c r="A44" s="90">
        <v>37</v>
      </c>
      <c r="B44" s="91">
        <f>INDEX(SCurve!$P$16:$BK$16,A44)</f>
        <v>46402</v>
      </c>
      <c r="C44" s="91">
        <f>INDEX(SCurve!$P$17:$BK$17,A44)</f>
        <v>46408</v>
      </c>
      <c r="D44" s="92"/>
      <c r="E44" s="93">
        <f>INDEX(SCurve!$P$67:$BK$67,A44)</f>
        <v>1</v>
      </c>
      <c r="F44" s="93" t="str">
        <f t="shared" si="0"/>
        <v/>
      </c>
      <c r="G44" s="94" t="str">
        <f t="shared" si="1"/>
        <v/>
      </c>
      <c r="H44" s="90" t="str">
        <f t="shared" si="2"/>
        <v/>
      </c>
      <c r="I44" s="95"/>
    </row>
    <row r="45" spans="1:9" x14ac:dyDescent="0.25">
      <c r="A45" s="90">
        <v>38</v>
      </c>
      <c r="B45" s="91">
        <f>INDEX(SCurve!$P$16:$BK$16,A45)</f>
        <v>46409</v>
      </c>
      <c r="C45" s="91">
        <f>INDEX(SCurve!$P$17:$BK$17,A45)</f>
        <v>46415</v>
      </c>
      <c r="D45" s="92"/>
      <c r="E45" s="93">
        <f>INDEX(SCurve!$P$67:$BK$67,A45)</f>
        <v>1</v>
      </c>
      <c r="F45" s="93" t="str">
        <f t="shared" si="0"/>
        <v/>
      </c>
      <c r="G45" s="94" t="str">
        <f t="shared" si="1"/>
        <v/>
      </c>
      <c r="H45" s="90" t="str">
        <f t="shared" si="2"/>
        <v/>
      </c>
      <c r="I45" s="95"/>
    </row>
    <row r="46" spans="1:9" x14ac:dyDescent="0.25">
      <c r="A46" s="90">
        <v>39</v>
      </c>
      <c r="B46" s="91">
        <f>INDEX(SCurve!$P$16:$BK$16,A46)</f>
        <v>46416</v>
      </c>
      <c r="C46" s="91">
        <f>INDEX(SCurve!$P$17:$BK$17,A46)</f>
        <v>46422</v>
      </c>
      <c r="D46" s="92"/>
      <c r="E46" s="93">
        <f>INDEX(SCurve!$P$67:$BK$67,A46)</f>
        <v>1</v>
      </c>
      <c r="F46" s="93" t="str">
        <f t="shared" si="0"/>
        <v/>
      </c>
      <c r="G46" s="94" t="str">
        <f t="shared" si="1"/>
        <v/>
      </c>
      <c r="H46" s="90" t="str">
        <f t="shared" si="2"/>
        <v/>
      </c>
      <c r="I46" s="95"/>
    </row>
    <row r="47" spans="1:9" x14ac:dyDescent="0.25">
      <c r="A47" s="90">
        <v>40</v>
      </c>
      <c r="B47" s="91">
        <f>INDEX(SCurve!$P$16:$BK$16,A47)</f>
        <v>46423</v>
      </c>
      <c r="C47" s="91">
        <f>INDEX(SCurve!$P$17:$BK$17,A47)</f>
        <v>46429</v>
      </c>
      <c r="D47" s="92"/>
      <c r="E47" s="93">
        <f>INDEX(SCurve!$P$67:$BK$67,A47)</f>
        <v>1</v>
      </c>
      <c r="F47" s="93" t="str">
        <f t="shared" si="0"/>
        <v/>
      </c>
      <c r="G47" s="94" t="str">
        <f t="shared" si="1"/>
        <v/>
      </c>
      <c r="H47" s="90" t="str">
        <f t="shared" si="2"/>
        <v/>
      </c>
      <c r="I47" s="95"/>
    </row>
    <row r="48" spans="1:9" x14ac:dyDescent="0.25">
      <c r="A48" s="90">
        <v>41</v>
      </c>
      <c r="B48" s="91">
        <f>INDEX(SCurve!$P$16:$BK$16,A48)</f>
        <v>46430</v>
      </c>
      <c r="C48" s="91">
        <f>INDEX(SCurve!$P$17:$BK$17,A48)</f>
        <v>46436</v>
      </c>
      <c r="D48" s="92"/>
      <c r="E48" s="93">
        <f>INDEX(SCurve!$P$67:$BK$67,A48)</f>
        <v>1</v>
      </c>
      <c r="F48" s="93" t="str">
        <f t="shared" si="0"/>
        <v/>
      </c>
      <c r="G48" s="94" t="str">
        <f t="shared" si="1"/>
        <v/>
      </c>
      <c r="H48" s="90" t="str">
        <f t="shared" si="2"/>
        <v/>
      </c>
      <c r="I48" s="95"/>
    </row>
    <row r="49" spans="1:9" x14ac:dyDescent="0.25">
      <c r="A49" s="90">
        <v>42</v>
      </c>
      <c r="B49" s="91">
        <f>INDEX(SCurve!$P$16:$BK$16,A49)</f>
        <v>46437</v>
      </c>
      <c r="C49" s="91">
        <f>INDEX(SCurve!$P$17:$BK$17,A49)</f>
        <v>46443</v>
      </c>
      <c r="D49" s="92"/>
      <c r="E49" s="93">
        <f>INDEX(SCurve!$P$67:$BK$67,A49)</f>
        <v>1</v>
      </c>
      <c r="F49" s="93" t="str">
        <f t="shared" si="0"/>
        <v/>
      </c>
      <c r="G49" s="94" t="str">
        <f t="shared" si="1"/>
        <v/>
      </c>
      <c r="H49" s="90" t="str">
        <f t="shared" si="2"/>
        <v/>
      </c>
      <c r="I49" s="95"/>
    </row>
    <row r="50" spans="1:9" x14ac:dyDescent="0.25">
      <c r="A50" s="90">
        <v>43</v>
      </c>
      <c r="B50" s="91">
        <f>INDEX(SCurve!$P$16:$BK$16,A50)</f>
        <v>46444</v>
      </c>
      <c r="C50" s="91">
        <f>INDEX(SCurve!$P$17:$BK$17,A50)</f>
        <v>46450</v>
      </c>
      <c r="D50" s="92"/>
      <c r="E50" s="93">
        <f>INDEX(SCurve!$P$67:$BK$67,A50)</f>
        <v>1</v>
      </c>
      <c r="F50" s="93" t="str">
        <f t="shared" si="0"/>
        <v/>
      </c>
      <c r="G50" s="94" t="str">
        <f t="shared" si="1"/>
        <v/>
      </c>
      <c r="H50" s="90" t="str">
        <f t="shared" si="2"/>
        <v/>
      </c>
      <c r="I50" s="95"/>
    </row>
    <row r="51" spans="1:9" x14ac:dyDescent="0.25">
      <c r="A51" s="90">
        <v>44</v>
      </c>
      <c r="B51" s="91">
        <f>INDEX(SCurve!$P$16:$BK$16,A51)</f>
        <v>46451</v>
      </c>
      <c r="C51" s="91">
        <f>INDEX(SCurve!$P$17:$BK$17,A51)</f>
        <v>46457</v>
      </c>
      <c r="D51" s="92"/>
      <c r="E51" s="93">
        <f>INDEX(SCurve!$P$67:$BK$67,A51)</f>
        <v>1</v>
      </c>
      <c r="F51" s="93" t="str">
        <f t="shared" si="0"/>
        <v/>
      </c>
      <c r="G51" s="94" t="str">
        <f t="shared" si="1"/>
        <v/>
      </c>
      <c r="H51" s="90" t="str">
        <f t="shared" si="2"/>
        <v/>
      </c>
      <c r="I51" s="95"/>
    </row>
    <row r="52" spans="1:9" x14ac:dyDescent="0.25">
      <c r="A52" s="90">
        <v>45</v>
      </c>
      <c r="B52" s="91">
        <f>INDEX(SCurve!$P$16:$BK$16,A52)</f>
        <v>46458</v>
      </c>
      <c r="C52" s="91">
        <f>INDEX(SCurve!$P$17:$BK$17,A52)</f>
        <v>46464</v>
      </c>
      <c r="D52" s="92"/>
      <c r="E52" s="93">
        <f>INDEX(SCurve!$P$67:$BK$67,A52)</f>
        <v>1</v>
      </c>
      <c r="F52" s="93" t="str">
        <f t="shared" si="0"/>
        <v/>
      </c>
      <c r="G52" s="94" t="str">
        <f t="shared" si="1"/>
        <v/>
      </c>
      <c r="H52" s="90" t="str">
        <f t="shared" si="2"/>
        <v/>
      </c>
      <c r="I52" s="95"/>
    </row>
    <row r="53" spans="1:9" x14ac:dyDescent="0.25">
      <c r="A53" s="90">
        <v>46</v>
      </c>
      <c r="B53" s="91">
        <f>INDEX(SCurve!$P$16:$BK$16,A53)</f>
        <v>46465</v>
      </c>
      <c r="C53" s="91">
        <f>INDEX(SCurve!$P$17:$BK$17,A53)</f>
        <v>46471</v>
      </c>
      <c r="D53" s="92"/>
      <c r="E53" s="93">
        <f>INDEX(SCurve!$P$67:$BK$67,A53)</f>
        <v>1</v>
      </c>
      <c r="F53" s="93" t="str">
        <f t="shared" si="0"/>
        <v/>
      </c>
      <c r="G53" s="94" t="str">
        <f t="shared" si="1"/>
        <v/>
      </c>
      <c r="H53" s="90" t="str">
        <f t="shared" si="2"/>
        <v/>
      </c>
      <c r="I53" s="95"/>
    </row>
    <row r="54" spans="1:9" x14ac:dyDescent="0.25">
      <c r="A54" s="90">
        <v>47</v>
      </c>
      <c r="B54" s="91">
        <f>INDEX(SCurve!$P$16:$BK$16,A54)</f>
        <v>46472</v>
      </c>
      <c r="C54" s="91">
        <f>INDEX(SCurve!$P$17:$BK$17,A54)</f>
        <v>46478</v>
      </c>
      <c r="D54" s="92"/>
      <c r="E54" s="93">
        <f>INDEX(SCurve!$P$67:$BK$67,A54)</f>
        <v>1</v>
      </c>
      <c r="F54" s="93" t="str">
        <f t="shared" si="0"/>
        <v/>
      </c>
      <c r="G54" s="94" t="str">
        <f t="shared" si="1"/>
        <v/>
      </c>
      <c r="H54" s="90" t="str">
        <f t="shared" si="2"/>
        <v/>
      </c>
      <c r="I54" s="95"/>
    </row>
    <row r="55" spans="1:9" x14ac:dyDescent="0.25">
      <c r="A55" s="90">
        <v>48</v>
      </c>
      <c r="B55" s="91">
        <f>INDEX(SCurve!$P$16:$BK$16,A55)</f>
        <v>46479</v>
      </c>
      <c r="C55" s="91">
        <f>INDEX(SCurve!$P$17:$BK$17,A55)</f>
        <v>46485</v>
      </c>
      <c r="D55" s="92"/>
      <c r="E55" s="93">
        <f>INDEX(SCurve!$P$67:$BK$67,A55)</f>
        <v>1</v>
      </c>
      <c r="F55" s="93" t="str">
        <f t="shared" si="0"/>
        <v/>
      </c>
      <c r="G55" s="94" t="str">
        <f t="shared" si="1"/>
        <v/>
      </c>
      <c r="H55" s="90" t="str">
        <f t="shared" si="2"/>
        <v/>
      </c>
      <c r="I55" s="95"/>
    </row>
  </sheetData>
  <mergeCells count="1">
    <mergeCell ref="A2:I2"/>
  </mergeCells>
  <conditionalFormatting sqref="A8:C55">
    <cfRule type="expression" dxfId="11" priority="10">
      <formula>$A8=$B$4</formula>
    </cfRule>
  </conditionalFormatting>
  <conditionalFormatting sqref="G4">
    <cfRule type="cellIs" dxfId="10" priority="5" operator="equal">
      <formula>"Hijau"</formula>
    </cfRule>
    <cfRule type="cellIs" dxfId="9" priority="6" operator="equal">
      <formula>"Kuning"</formula>
    </cfRule>
    <cfRule type="cellIs" dxfId="8" priority="7" operator="equal">
      <formula>"Merah"</formula>
    </cfRule>
  </conditionalFormatting>
  <conditionalFormatting sqref="H8:H55">
    <cfRule type="cellIs" dxfId="7" priority="2" operator="equal">
      <formula>"Hijau"</formula>
    </cfRule>
    <cfRule type="cellIs" dxfId="6" priority="3" operator="equal">
      <formula>"Kuning"</formula>
    </cfRule>
    <cfRule type="cellIs" dxfId="5" priority="4" operator="equal">
      <formula>"Merah"</formula>
    </cfRule>
  </conditionalFormatting>
  <conditionalFormatting sqref="O4:O6">
    <cfRule type="cellIs" dxfId="4" priority="8" operator="equal">
      <formula>"OK"</formula>
    </cfRule>
    <cfRule type="cellIs" dxfId="3" priority="9" operator="equal">
      <formula>"CEK"</formula>
    </cfRule>
  </conditionalFormatting>
  <dataValidations count="1">
    <dataValidation type="decimal" allowBlank="1" showErrorMessage="1" errorTitle="Actual tidak valid" error="Isi 0%–100%." sqref="D8:D55" xr:uid="{00000000-0002-0000-01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showGridLines="0" zoomScaleNormal="100" workbookViewId="0"/>
  </sheetViews>
  <sheetFormatPr defaultColWidth="8.5703125" defaultRowHeight="15" x14ac:dyDescent="0.25"/>
  <cols>
    <col min="1" max="1" width="5" customWidth="1"/>
    <col min="2" max="2" width="62" customWidth="1"/>
    <col min="3" max="3" width="44" customWidth="1"/>
    <col min="4" max="4" width="58" customWidth="1"/>
  </cols>
  <sheetData>
    <row r="1" spans="1:4" ht="20.25" x14ac:dyDescent="0.3">
      <c r="A1" s="77" t="s">
        <v>144</v>
      </c>
    </row>
    <row r="3" spans="1:4" x14ac:dyDescent="0.25">
      <c r="A3" s="96" t="s">
        <v>145</v>
      </c>
      <c r="B3" s="96" t="s">
        <v>146</v>
      </c>
      <c r="C3" s="96" t="s">
        <v>147</v>
      </c>
      <c r="D3" s="96" t="s">
        <v>148</v>
      </c>
    </row>
    <row r="4" spans="1:4" ht="30" x14ac:dyDescent="0.25">
      <c r="A4" s="97">
        <v>1</v>
      </c>
      <c r="B4" s="97" t="s">
        <v>149</v>
      </c>
      <c r="C4" s="97" t="s">
        <v>150</v>
      </c>
      <c r="D4" s="97" t="s">
        <v>151</v>
      </c>
    </row>
    <row r="5" spans="1:4" ht="30" x14ac:dyDescent="0.25">
      <c r="A5" s="97">
        <v>2</v>
      </c>
      <c r="B5" s="97" t="s">
        <v>152</v>
      </c>
      <c r="C5" s="97" t="s">
        <v>153</v>
      </c>
      <c r="D5" s="97" t="s">
        <v>154</v>
      </c>
    </row>
    <row r="6" spans="1:4" ht="30" x14ac:dyDescent="0.25">
      <c r="A6" s="97">
        <v>3</v>
      </c>
      <c r="B6" s="97" t="s">
        <v>155</v>
      </c>
      <c r="C6" s="97" t="s">
        <v>156</v>
      </c>
      <c r="D6" s="97" t="s">
        <v>157</v>
      </c>
    </row>
    <row r="7" spans="1:4" x14ac:dyDescent="0.25">
      <c r="A7" s="97">
        <v>4</v>
      </c>
      <c r="B7" s="97" t="s">
        <v>158</v>
      </c>
      <c r="C7" s="97" t="s">
        <v>159</v>
      </c>
      <c r="D7" s="97" t="s">
        <v>160</v>
      </c>
    </row>
    <row r="8" spans="1:4" ht="30" x14ac:dyDescent="0.25">
      <c r="A8" s="97">
        <v>5</v>
      </c>
      <c r="B8" s="97" t="s">
        <v>161</v>
      </c>
      <c r="C8" s="97" t="s">
        <v>162</v>
      </c>
      <c r="D8" s="97" t="s">
        <v>163</v>
      </c>
    </row>
    <row r="9" spans="1:4" ht="30" x14ac:dyDescent="0.25">
      <c r="A9" s="97">
        <v>6</v>
      </c>
      <c r="B9" s="97" t="s">
        <v>164</v>
      </c>
      <c r="C9" s="97" t="s">
        <v>165</v>
      </c>
      <c r="D9" s="97" t="s">
        <v>166</v>
      </c>
    </row>
    <row r="10" spans="1:4" ht="30" x14ac:dyDescent="0.25">
      <c r="A10" s="97">
        <v>7</v>
      </c>
      <c r="B10" s="97" t="s">
        <v>167</v>
      </c>
      <c r="C10" s="97" t="s">
        <v>168</v>
      </c>
      <c r="D10" s="97" t="s">
        <v>169</v>
      </c>
    </row>
    <row r="11" spans="1:4" ht="30" x14ac:dyDescent="0.25">
      <c r="A11" s="97">
        <v>8</v>
      </c>
      <c r="B11" s="97" t="s">
        <v>170</v>
      </c>
      <c r="C11" s="97" t="s">
        <v>171</v>
      </c>
      <c r="D11" s="97" t="s">
        <v>172</v>
      </c>
    </row>
    <row r="12" spans="1:4" ht="30" x14ac:dyDescent="0.25">
      <c r="A12" s="97">
        <v>9</v>
      </c>
      <c r="B12" s="97" t="s">
        <v>173</v>
      </c>
      <c r="C12" s="97" t="s">
        <v>174</v>
      </c>
      <c r="D12" s="97" t="s">
        <v>175</v>
      </c>
    </row>
    <row r="13" spans="1:4" ht="30" x14ac:dyDescent="0.25">
      <c r="A13" s="97">
        <v>10</v>
      </c>
      <c r="B13" s="97" t="s">
        <v>176</v>
      </c>
      <c r="C13" s="97" t="s">
        <v>177</v>
      </c>
      <c r="D13" s="97" t="s">
        <v>178</v>
      </c>
    </row>
    <row r="14" spans="1:4" x14ac:dyDescent="0.25">
      <c r="A14" s="98"/>
      <c r="B14" s="98"/>
      <c r="C14" s="98"/>
      <c r="D14" s="98"/>
    </row>
    <row r="15" spans="1:4" x14ac:dyDescent="0.25">
      <c r="A15" s="99"/>
      <c r="B15" s="99" t="s">
        <v>179</v>
      </c>
      <c r="C15" s="99"/>
      <c r="D15" s="99"/>
    </row>
    <row r="16" spans="1:4" ht="60" x14ac:dyDescent="0.25">
      <c r="A16" s="98"/>
      <c r="B16" s="98" t="s">
        <v>180</v>
      </c>
      <c r="C16" s="98"/>
      <c r="D16" s="98" t="s">
        <v>181</v>
      </c>
    </row>
    <row r="17" spans="1:4" ht="45" x14ac:dyDescent="0.25">
      <c r="A17" s="98"/>
      <c r="B17" s="98" t="s">
        <v>182</v>
      </c>
      <c r="C17" s="98"/>
      <c r="D17" s="98" t="s">
        <v>183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zoomScaleNormal="100" workbookViewId="0">
      <selection activeCell="O31" sqref="O31"/>
    </sheetView>
  </sheetViews>
  <sheetFormatPr defaultColWidth="8.5703125" defaultRowHeight="15" x14ac:dyDescent="0.25"/>
  <cols>
    <col min="2" max="2" width="34.7109375" customWidth="1"/>
    <col min="4" max="4" width="10.42578125" customWidth="1"/>
    <col min="5" max="5" width="10.85546875" customWidth="1"/>
    <col min="8" max="8" width="8.85546875" customWidth="1"/>
    <col min="9" max="9" width="12.5703125" customWidth="1"/>
    <col min="12" max="12" width="15" customWidth="1"/>
    <col min="13" max="13" width="9.7109375" customWidth="1"/>
  </cols>
  <sheetData>
    <row r="1" spans="1:13" x14ac:dyDescent="0.25">
      <c r="A1" t="s">
        <v>13</v>
      </c>
      <c r="B1" s="100" t="s">
        <v>14</v>
      </c>
      <c r="C1" s="100" t="s">
        <v>15</v>
      </c>
      <c r="D1" s="100" t="s">
        <v>16</v>
      </c>
      <c r="E1" s="100" t="s">
        <v>17</v>
      </c>
      <c r="F1" s="100"/>
      <c r="G1" s="100"/>
      <c r="H1" s="100" t="s">
        <v>19</v>
      </c>
      <c r="I1" s="100" t="s">
        <v>20</v>
      </c>
      <c r="J1" s="100" t="s">
        <v>20</v>
      </c>
      <c r="K1" s="100" t="s">
        <v>21</v>
      </c>
      <c r="L1" s="100" t="s">
        <v>21</v>
      </c>
      <c r="M1" s="100" t="s">
        <v>12</v>
      </c>
    </row>
    <row r="2" spans="1:13" x14ac:dyDescent="0.25">
      <c r="A2" t="s">
        <v>72</v>
      </c>
      <c r="B2" t="s">
        <v>184</v>
      </c>
      <c r="C2">
        <v>0.02</v>
      </c>
      <c r="D2" s="101">
        <v>46034</v>
      </c>
      <c r="E2" s="101">
        <v>46034</v>
      </c>
      <c r="H2" s="102">
        <v>1</v>
      </c>
      <c r="I2" s="103"/>
      <c r="J2" s="104">
        <v>1</v>
      </c>
      <c r="K2" s="103"/>
      <c r="L2" s="104">
        <f>SCurve!K20</f>
        <v>1</v>
      </c>
      <c r="M2" s="103">
        <f>L2-J2</f>
        <v>0</v>
      </c>
    </row>
    <row r="3" spans="1:13" x14ac:dyDescent="0.25">
      <c r="A3" t="s">
        <v>75</v>
      </c>
      <c r="B3" t="s">
        <v>185</v>
      </c>
      <c r="C3">
        <v>0.15</v>
      </c>
      <c r="D3" s="101">
        <v>46035</v>
      </c>
      <c r="E3" s="101">
        <v>46049</v>
      </c>
      <c r="H3" s="102">
        <v>11</v>
      </c>
      <c r="I3" s="103"/>
      <c r="J3" s="104">
        <v>1</v>
      </c>
      <c r="K3" s="103"/>
      <c r="L3" s="104" t="e">
        <f>SCurve!#REF!</f>
        <v>#REF!</v>
      </c>
      <c r="M3" s="103" t="e">
        <f>L3-J3</f>
        <v>#REF!</v>
      </c>
    </row>
    <row r="4" spans="1:13" x14ac:dyDescent="0.25">
      <c r="A4" t="s">
        <v>75</v>
      </c>
      <c r="B4" t="s">
        <v>186</v>
      </c>
      <c r="C4">
        <v>0.1</v>
      </c>
      <c r="D4" s="101">
        <v>46034</v>
      </c>
      <c r="E4" s="101">
        <v>46045</v>
      </c>
      <c r="H4" s="102">
        <v>10</v>
      </c>
      <c r="I4" s="103"/>
      <c r="J4" s="104">
        <v>1</v>
      </c>
      <c r="K4" s="103"/>
      <c r="L4" s="104" t="e">
        <f>SCurve!#REF!</f>
        <v>#REF!</v>
      </c>
      <c r="M4" s="103" t="e">
        <f>L4-J4</f>
        <v>#REF!</v>
      </c>
    </row>
    <row r="5" spans="1:13" x14ac:dyDescent="0.25">
      <c r="A5" t="s">
        <v>79</v>
      </c>
      <c r="B5" t="s">
        <v>187</v>
      </c>
      <c r="C5">
        <v>0.36</v>
      </c>
      <c r="D5" s="101">
        <v>46051</v>
      </c>
      <c r="E5" s="101">
        <v>46140</v>
      </c>
      <c r="F5">
        <v>0.13</v>
      </c>
      <c r="G5">
        <v>0.13</v>
      </c>
      <c r="H5" s="102">
        <v>64</v>
      </c>
      <c r="I5" s="103">
        <v>0</v>
      </c>
      <c r="J5" s="104">
        <f>SCurve!I24</f>
        <v>0.5</v>
      </c>
      <c r="K5" s="103"/>
      <c r="L5" s="104">
        <f>SCurve!K24</f>
        <v>0.5</v>
      </c>
      <c r="M5" s="103">
        <f>L5-J5</f>
        <v>0</v>
      </c>
    </row>
    <row r="6" spans="1:13" x14ac:dyDescent="0.25">
      <c r="A6" t="s">
        <v>83</v>
      </c>
      <c r="B6" t="s">
        <v>188</v>
      </c>
      <c r="C6">
        <v>0.18</v>
      </c>
      <c r="D6" s="101">
        <v>46066</v>
      </c>
      <c r="E6" s="101">
        <v>46077</v>
      </c>
      <c r="F6">
        <v>0.14000000000000001</v>
      </c>
      <c r="G6">
        <v>0.14000000000000001</v>
      </c>
      <c r="H6" s="102">
        <v>8</v>
      </c>
      <c r="I6" s="103">
        <v>0</v>
      </c>
      <c r="J6" s="104">
        <v>0</v>
      </c>
      <c r="K6" s="103"/>
      <c r="L6" s="104">
        <f>SCurve!K56</f>
        <v>0</v>
      </c>
      <c r="M6" s="103">
        <f>L6-J6</f>
        <v>0</v>
      </c>
    </row>
    <row r="7" spans="1:13" x14ac:dyDescent="0.25">
      <c r="A7" t="s">
        <v>89</v>
      </c>
      <c r="B7" t="s">
        <v>189</v>
      </c>
      <c r="C7">
        <v>0.03</v>
      </c>
      <c r="D7" s="101">
        <v>46150</v>
      </c>
      <c r="E7" s="101">
        <v>46184</v>
      </c>
      <c r="H7" s="102">
        <v>25</v>
      </c>
      <c r="J7" s="104">
        <v>0</v>
      </c>
      <c r="K7" s="104"/>
      <c r="L7" s="104">
        <v>0</v>
      </c>
      <c r="M7" s="104"/>
    </row>
    <row r="8" spans="1:13" x14ac:dyDescent="0.25">
      <c r="A8" t="s">
        <v>94</v>
      </c>
      <c r="B8" t="s">
        <v>190</v>
      </c>
      <c r="C8">
        <v>0.04</v>
      </c>
      <c r="D8" s="101">
        <v>46185</v>
      </c>
      <c r="E8" s="101">
        <v>46190</v>
      </c>
      <c r="H8" s="102">
        <v>4</v>
      </c>
      <c r="J8">
        <v>0</v>
      </c>
      <c r="L8" s="103" t="e">
        <f>SCurve!#REF!</f>
        <v>#REF!</v>
      </c>
      <c r="M8" s="104"/>
    </row>
    <row r="9" spans="1:13" x14ac:dyDescent="0.25">
      <c r="A9" t="s">
        <v>101</v>
      </c>
      <c r="B9" t="s">
        <v>191</v>
      </c>
      <c r="C9">
        <v>0.08</v>
      </c>
      <c r="D9" s="101">
        <v>46185</v>
      </c>
      <c r="E9" s="101">
        <v>46197</v>
      </c>
      <c r="H9" s="102">
        <v>9</v>
      </c>
      <c r="J9" s="104">
        <v>0</v>
      </c>
      <c r="K9" s="104"/>
      <c r="L9" s="104" t="e">
        <f>SCurve!#REF!</f>
        <v>#REF!</v>
      </c>
      <c r="M9" s="104"/>
    </row>
    <row r="10" spans="1:13" x14ac:dyDescent="0.25">
      <c r="A10" t="s">
        <v>105</v>
      </c>
      <c r="B10" t="s">
        <v>110</v>
      </c>
      <c r="C10">
        <v>0.04</v>
      </c>
      <c r="D10" s="101">
        <v>46198</v>
      </c>
      <c r="E10" s="101">
        <v>46198</v>
      </c>
      <c r="H10" s="102">
        <v>1</v>
      </c>
      <c r="J10" s="104">
        <v>0</v>
      </c>
      <c r="K10" s="104"/>
      <c r="L10" s="104" t="e">
        <f>SCurve!#REF!</f>
        <v>#REF!</v>
      </c>
      <c r="M10" s="104"/>
    </row>
    <row r="17" spans="2:12" s="105" customFormat="1" ht="24" customHeight="1" x14ac:dyDescent="0.4">
      <c r="B17" s="105" t="s">
        <v>192</v>
      </c>
      <c r="J17" s="106">
        <f>SCurve!J62</f>
        <v>5.1428571428571428E-2</v>
      </c>
      <c r="K17" s="106"/>
      <c r="L17" s="106">
        <f>SCurve!L62</f>
        <v>5.5E-2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G16:I29"/>
  <sheetViews>
    <sheetView topLeftCell="A15" zoomScaleNormal="100" workbookViewId="0">
      <selection activeCell="F31" sqref="F31"/>
    </sheetView>
  </sheetViews>
  <sheetFormatPr defaultColWidth="8.5703125" defaultRowHeight="15" x14ac:dyDescent="0.25"/>
  <cols>
    <col min="7" max="7" width="25.5703125" customWidth="1"/>
    <col min="8" max="9" width="11" customWidth="1"/>
  </cols>
  <sheetData>
    <row r="16" spans="7:9" x14ac:dyDescent="0.25">
      <c r="G16" s="107" t="s">
        <v>193</v>
      </c>
      <c r="H16" s="107" t="s">
        <v>194</v>
      </c>
      <c r="I16" s="107" t="s">
        <v>195</v>
      </c>
    </row>
    <row r="17" spans="7:9" x14ac:dyDescent="0.25">
      <c r="G17" s="108" t="s">
        <v>196</v>
      </c>
      <c r="H17" s="109">
        <v>46149</v>
      </c>
      <c r="I17" s="109" t="s">
        <v>197</v>
      </c>
    </row>
    <row r="18" spans="7:9" x14ac:dyDescent="0.25">
      <c r="G18" s="108" t="s">
        <v>198</v>
      </c>
      <c r="H18" s="109" t="s">
        <v>199</v>
      </c>
      <c r="I18" s="109" t="s">
        <v>200</v>
      </c>
    </row>
    <row r="19" spans="7:9" x14ac:dyDescent="0.25">
      <c r="G19" s="108" t="s">
        <v>81</v>
      </c>
      <c r="H19" s="109" t="s">
        <v>199</v>
      </c>
      <c r="I19" s="109" t="s">
        <v>201</v>
      </c>
    </row>
    <row r="20" spans="7:9" x14ac:dyDescent="0.25">
      <c r="G20" s="108" t="s">
        <v>202</v>
      </c>
      <c r="H20" s="109" t="s">
        <v>203</v>
      </c>
      <c r="I20" s="109" t="s">
        <v>204</v>
      </c>
    </row>
    <row r="21" spans="7:9" x14ac:dyDescent="0.25">
      <c r="G21" s="108" t="s">
        <v>205</v>
      </c>
      <c r="H21" s="109" t="s">
        <v>206</v>
      </c>
      <c r="I21" s="109" t="s">
        <v>207</v>
      </c>
    </row>
    <row r="22" spans="7:9" x14ac:dyDescent="0.25">
      <c r="G22" s="110" t="s">
        <v>208</v>
      </c>
      <c r="H22" s="109" t="s">
        <v>206</v>
      </c>
      <c r="I22" s="109" t="s">
        <v>209</v>
      </c>
    </row>
    <row r="23" spans="7:9" x14ac:dyDescent="0.25">
      <c r="G23" s="110" t="s">
        <v>210</v>
      </c>
      <c r="H23" s="109" t="s">
        <v>211</v>
      </c>
      <c r="I23" s="109" t="s">
        <v>212</v>
      </c>
    </row>
    <row r="24" spans="7:9" x14ac:dyDescent="0.25">
      <c r="G24" s="110" t="s">
        <v>213</v>
      </c>
      <c r="H24" s="109" t="s">
        <v>214</v>
      </c>
      <c r="I24" s="109" t="s">
        <v>207</v>
      </c>
    </row>
    <row r="25" spans="7:9" x14ac:dyDescent="0.25">
      <c r="G25" s="108" t="s">
        <v>215</v>
      </c>
      <c r="H25" s="109" t="s">
        <v>216</v>
      </c>
      <c r="I25" s="109" t="s">
        <v>217</v>
      </c>
    </row>
    <row r="26" spans="7:9" x14ac:dyDescent="0.25">
      <c r="G26" s="110" t="s">
        <v>102</v>
      </c>
      <c r="H26" s="109" t="s">
        <v>218</v>
      </c>
      <c r="I26" s="109" t="s">
        <v>219</v>
      </c>
    </row>
    <row r="27" spans="7:9" x14ac:dyDescent="0.25">
      <c r="G27" s="108" t="s">
        <v>220</v>
      </c>
      <c r="H27" s="109" t="s">
        <v>221</v>
      </c>
      <c r="I27" s="109" t="s">
        <v>222</v>
      </c>
    </row>
    <row r="28" spans="7:9" x14ac:dyDescent="0.25">
      <c r="G28" s="108" t="s">
        <v>110</v>
      </c>
      <c r="H28" s="109" t="s">
        <v>223</v>
      </c>
      <c r="I28" s="109" t="s">
        <v>223</v>
      </c>
    </row>
    <row r="29" spans="7:9" x14ac:dyDescent="0.25">
      <c r="G29" s="108" t="s">
        <v>224</v>
      </c>
      <c r="H29" s="109" t="s">
        <v>203</v>
      </c>
      <c r="I29" s="109" t="s">
        <v>225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6"/>
  <sheetViews>
    <sheetView topLeftCell="A40" zoomScale="93" zoomScaleNormal="93" workbookViewId="0">
      <selection activeCell="H42" sqref="H42"/>
    </sheetView>
  </sheetViews>
  <sheetFormatPr defaultColWidth="9.140625" defaultRowHeight="15" x14ac:dyDescent="0.25"/>
  <cols>
    <col min="1" max="1" width="13.7109375" style="111" customWidth="1"/>
    <col min="2" max="2" width="7.85546875" style="111" customWidth="1"/>
    <col min="3" max="3" width="49.85546875" style="111" customWidth="1"/>
    <col min="4" max="16384" width="9.140625" style="111"/>
  </cols>
  <sheetData>
    <row r="1" spans="1:1" x14ac:dyDescent="0.25">
      <c r="A1" s="111" t="s">
        <v>226</v>
      </c>
    </row>
    <row r="2" spans="1:1" x14ac:dyDescent="0.25">
      <c r="A2" s="112">
        <v>45658</v>
      </c>
    </row>
    <row r="3" spans="1:1" x14ac:dyDescent="0.25">
      <c r="A3" s="112">
        <v>45684</v>
      </c>
    </row>
    <row r="4" spans="1:1" x14ac:dyDescent="0.25">
      <c r="A4" s="112">
        <v>45685</v>
      </c>
    </row>
    <row r="5" spans="1:1" x14ac:dyDescent="0.25">
      <c r="A5" s="112">
        <v>45686</v>
      </c>
    </row>
    <row r="6" spans="1:1" x14ac:dyDescent="0.25">
      <c r="A6" s="112">
        <v>45744</v>
      </c>
    </row>
    <row r="7" spans="1:1" x14ac:dyDescent="0.25">
      <c r="A7" s="112">
        <v>45745</v>
      </c>
    </row>
    <row r="8" spans="1:1" x14ac:dyDescent="0.25">
      <c r="A8" s="112">
        <v>45747</v>
      </c>
    </row>
    <row r="9" spans="1:1" x14ac:dyDescent="0.25">
      <c r="A9" s="112">
        <v>45748</v>
      </c>
    </row>
    <row r="10" spans="1:1" x14ac:dyDescent="0.25">
      <c r="A10" s="112">
        <v>45749</v>
      </c>
    </row>
    <row r="11" spans="1:1" x14ac:dyDescent="0.25">
      <c r="A11" s="112">
        <v>45750</v>
      </c>
    </row>
    <row r="12" spans="1:1" x14ac:dyDescent="0.25">
      <c r="A12" s="112">
        <v>45751</v>
      </c>
    </row>
    <row r="13" spans="1:1" x14ac:dyDescent="0.25">
      <c r="A13" s="112">
        <v>45754</v>
      </c>
    </row>
    <row r="14" spans="1:1" x14ac:dyDescent="0.25">
      <c r="A14" s="112">
        <v>45765</v>
      </c>
    </row>
    <row r="15" spans="1:1" x14ac:dyDescent="0.25">
      <c r="A15" s="112">
        <v>45767</v>
      </c>
    </row>
    <row r="16" spans="1:1" x14ac:dyDescent="0.25">
      <c r="A16" s="112">
        <v>45778</v>
      </c>
    </row>
    <row r="17" spans="1:12" x14ac:dyDescent="0.25">
      <c r="A17" s="112">
        <v>45789</v>
      </c>
    </row>
    <row r="18" spans="1:12" x14ac:dyDescent="0.25">
      <c r="A18" s="112">
        <v>45790</v>
      </c>
    </row>
    <row r="19" spans="1:12" x14ac:dyDescent="0.25">
      <c r="A19" s="112">
        <v>45806</v>
      </c>
    </row>
    <row r="20" spans="1:12" x14ac:dyDescent="0.25">
      <c r="A20" s="112">
        <v>45807</v>
      </c>
    </row>
    <row r="21" spans="1:12" x14ac:dyDescent="0.25">
      <c r="A21" s="112">
        <v>45809</v>
      </c>
    </row>
    <row r="22" spans="1:12" x14ac:dyDescent="0.25">
      <c r="A22" s="112">
        <v>45814</v>
      </c>
    </row>
    <row r="23" spans="1:12" x14ac:dyDescent="0.25">
      <c r="A23" s="112">
        <v>45817</v>
      </c>
    </row>
    <row r="24" spans="1:12" x14ac:dyDescent="0.25">
      <c r="A24" s="112">
        <v>45835</v>
      </c>
    </row>
    <row r="25" spans="1:12" x14ac:dyDescent="0.25">
      <c r="A25" s="112">
        <v>45886</v>
      </c>
    </row>
    <row r="26" spans="1:12" x14ac:dyDescent="0.25">
      <c r="A26" s="112">
        <v>45887</v>
      </c>
    </row>
    <row r="27" spans="1:12" x14ac:dyDescent="0.25">
      <c r="A27" s="112">
        <v>45905</v>
      </c>
    </row>
    <row r="28" spans="1:12" x14ac:dyDescent="0.25">
      <c r="A28" s="112">
        <v>46016</v>
      </c>
    </row>
    <row r="29" spans="1:12" x14ac:dyDescent="0.25">
      <c r="A29" s="112">
        <v>46017</v>
      </c>
    </row>
    <row r="30" spans="1:12" x14ac:dyDescent="0.25">
      <c r="A30" s="112">
        <v>46022</v>
      </c>
    </row>
    <row r="31" spans="1:12" x14ac:dyDescent="0.25">
      <c r="A31" s="112">
        <v>46023</v>
      </c>
      <c r="I31" s="113"/>
      <c r="J31" s="113"/>
      <c r="K31" s="113"/>
      <c r="L31" s="113"/>
    </row>
    <row r="32" spans="1:12" x14ac:dyDescent="0.25">
      <c r="A32" s="112">
        <v>46023</v>
      </c>
      <c r="B32" s="111" t="s">
        <v>227</v>
      </c>
      <c r="C32" s="111" t="s">
        <v>228</v>
      </c>
      <c r="I32" s="114"/>
      <c r="J32" s="115"/>
      <c r="K32" s="114"/>
      <c r="L32" s="114"/>
    </row>
    <row r="33" spans="1:12" x14ac:dyDescent="0.25">
      <c r="A33" s="112">
        <v>46038</v>
      </c>
      <c r="B33" s="111" t="s">
        <v>229</v>
      </c>
      <c r="C33" s="111" t="s">
        <v>230</v>
      </c>
      <c r="I33" s="114"/>
      <c r="J33" s="115"/>
      <c r="K33" s="114"/>
      <c r="L33" s="114"/>
    </row>
    <row r="34" spans="1:12" x14ac:dyDescent="0.25">
      <c r="A34" s="112">
        <v>46070</v>
      </c>
      <c r="B34" s="111" t="s">
        <v>231</v>
      </c>
      <c r="C34" s="111" t="s">
        <v>232</v>
      </c>
      <c r="I34" s="114"/>
      <c r="J34" s="115"/>
      <c r="K34" s="114"/>
      <c r="L34" s="114"/>
    </row>
    <row r="35" spans="1:12" x14ac:dyDescent="0.25">
      <c r="A35" s="112">
        <v>46100</v>
      </c>
      <c r="B35" s="111" t="s">
        <v>227</v>
      </c>
      <c r="C35" s="111" t="s">
        <v>233</v>
      </c>
      <c r="I35" s="114"/>
      <c r="J35" s="115"/>
      <c r="K35" s="114"/>
      <c r="L35" s="114"/>
    </row>
    <row r="36" spans="1:12" x14ac:dyDescent="0.25">
      <c r="A36" s="112">
        <v>46102</v>
      </c>
      <c r="B36" s="111" t="s">
        <v>234</v>
      </c>
      <c r="C36" s="111" t="s">
        <v>235</v>
      </c>
      <c r="I36" s="114"/>
      <c r="J36" s="115"/>
      <c r="K36" s="114"/>
      <c r="L36" s="114"/>
    </row>
    <row r="37" spans="1:12" x14ac:dyDescent="0.25">
      <c r="A37" s="112">
        <v>46103</v>
      </c>
      <c r="B37" s="111" t="s">
        <v>236</v>
      </c>
      <c r="C37" s="111" t="s">
        <v>235</v>
      </c>
      <c r="I37" s="114"/>
      <c r="J37" s="115"/>
      <c r="K37" s="114"/>
      <c r="L37" s="114"/>
    </row>
    <row r="38" spans="1:12" x14ac:dyDescent="0.25">
      <c r="A38" s="112">
        <v>46115</v>
      </c>
      <c r="B38" s="111" t="s">
        <v>229</v>
      </c>
      <c r="C38" s="111" t="s">
        <v>237</v>
      </c>
      <c r="I38" s="114"/>
      <c r="J38" s="115"/>
      <c r="K38" s="114"/>
      <c r="L38" s="114"/>
    </row>
    <row r="39" spans="1:12" x14ac:dyDescent="0.25">
      <c r="A39" s="112">
        <v>46117</v>
      </c>
      <c r="B39" s="111" t="s">
        <v>236</v>
      </c>
      <c r="C39" s="111" t="s">
        <v>238</v>
      </c>
      <c r="I39" s="114"/>
      <c r="J39" s="115"/>
      <c r="K39" s="114"/>
      <c r="L39" s="114"/>
    </row>
    <row r="40" spans="1:12" x14ac:dyDescent="0.25">
      <c r="A40" s="112">
        <v>46143</v>
      </c>
      <c r="B40" s="111" t="s">
        <v>229</v>
      </c>
      <c r="C40" s="111" t="s">
        <v>239</v>
      </c>
    </row>
    <row r="41" spans="1:12" x14ac:dyDescent="0.25">
      <c r="A41" s="112">
        <v>46156</v>
      </c>
      <c r="B41" s="111" t="s">
        <v>227</v>
      </c>
      <c r="C41" s="111" t="s">
        <v>240</v>
      </c>
    </row>
    <row r="42" spans="1:12" x14ac:dyDescent="0.25">
      <c r="A42" s="112">
        <v>46169</v>
      </c>
      <c r="B42" s="111" t="s">
        <v>241</v>
      </c>
      <c r="C42" s="111" t="s">
        <v>242</v>
      </c>
    </row>
    <row r="43" spans="1:12" x14ac:dyDescent="0.25">
      <c r="A43" s="112">
        <v>46173</v>
      </c>
      <c r="B43" s="111" t="s">
        <v>236</v>
      </c>
      <c r="C43" s="111" t="s">
        <v>243</v>
      </c>
    </row>
    <row r="44" spans="1:12" x14ac:dyDescent="0.25">
      <c r="A44" s="112">
        <v>46174</v>
      </c>
      <c r="B44" s="111" t="s">
        <v>244</v>
      </c>
      <c r="C44" s="111" t="s">
        <v>245</v>
      </c>
    </row>
    <row r="45" spans="1:12" x14ac:dyDescent="0.25">
      <c r="A45" s="112">
        <v>46189</v>
      </c>
      <c r="B45" s="111" t="s">
        <v>231</v>
      </c>
      <c r="C45" s="111" t="s">
        <v>246</v>
      </c>
    </row>
    <row r="46" spans="1:12" x14ac:dyDescent="0.25">
      <c r="A46" s="112">
        <v>46251</v>
      </c>
      <c r="B46" s="111" t="s">
        <v>244</v>
      </c>
      <c r="C46" s="111" t="s">
        <v>247</v>
      </c>
    </row>
    <row r="47" spans="1:12" x14ac:dyDescent="0.25">
      <c r="A47" s="112">
        <v>46259</v>
      </c>
      <c r="B47" s="111" t="s">
        <v>231</v>
      </c>
      <c r="C47" s="111" t="s">
        <v>248</v>
      </c>
    </row>
    <row r="48" spans="1:12" x14ac:dyDescent="0.25">
      <c r="A48" s="112">
        <v>46381</v>
      </c>
      <c r="B48" s="111" t="s">
        <v>229</v>
      </c>
      <c r="C48" s="111" t="s">
        <v>249</v>
      </c>
    </row>
    <row r="49" spans="1:3" x14ac:dyDescent="0.25">
      <c r="A49" s="112">
        <v>46069</v>
      </c>
      <c r="B49" s="114" t="s">
        <v>244</v>
      </c>
      <c r="C49" s="116" t="s">
        <v>232</v>
      </c>
    </row>
    <row r="50" spans="1:3" x14ac:dyDescent="0.25">
      <c r="A50" s="112">
        <v>46099</v>
      </c>
      <c r="B50" s="114" t="s">
        <v>241</v>
      </c>
      <c r="C50" s="116" t="s">
        <v>233</v>
      </c>
    </row>
    <row r="51" spans="1:3" x14ac:dyDescent="0.25">
      <c r="A51" s="112">
        <v>46101</v>
      </c>
      <c r="B51" s="114" t="s">
        <v>229</v>
      </c>
      <c r="C51" s="116" t="s">
        <v>235</v>
      </c>
    </row>
    <row r="52" spans="1:3" x14ac:dyDescent="0.25">
      <c r="A52" s="112">
        <v>46104</v>
      </c>
      <c r="B52" s="114" t="s">
        <v>244</v>
      </c>
      <c r="C52" s="116" t="s">
        <v>235</v>
      </c>
    </row>
    <row r="53" spans="1:3" x14ac:dyDescent="0.25">
      <c r="A53" s="112">
        <v>46105</v>
      </c>
      <c r="B53" s="114" t="s">
        <v>231</v>
      </c>
      <c r="C53" s="116" t="s">
        <v>235</v>
      </c>
    </row>
    <row r="54" spans="1:3" x14ac:dyDescent="0.25">
      <c r="A54" s="112">
        <v>46157</v>
      </c>
      <c r="B54" s="114" t="s">
        <v>229</v>
      </c>
      <c r="C54" s="116" t="s">
        <v>240</v>
      </c>
    </row>
    <row r="55" spans="1:3" x14ac:dyDescent="0.25">
      <c r="A55" s="112">
        <v>46170</v>
      </c>
      <c r="B55" s="114" t="s">
        <v>227</v>
      </c>
      <c r="C55" s="116" t="s">
        <v>242</v>
      </c>
    </row>
    <row r="56" spans="1:3" x14ac:dyDescent="0.25">
      <c r="A56" s="112">
        <v>46380</v>
      </c>
      <c r="B56" s="114" t="s">
        <v>227</v>
      </c>
      <c r="C56" s="116" t="s">
        <v>250</v>
      </c>
    </row>
  </sheetData>
  <conditionalFormatting sqref="A32:A56">
    <cfRule type="duplicateValues" dxfId="2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3"/>
  <sheetViews>
    <sheetView topLeftCell="A25" zoomScaleNormal="100" workbookViewId="0">
      <selection activeCell="G45" sqref="G45"/>
    </sheetView>
  </sheetViews>
  <sheetFormatPr defaultColWidth="8.5703125" defaultRowHeight="15" x14ac:dyDescent="0.25"/>
  <cols>
    <col min="1" max="1" width="9" customWidth="1"/>
    <col min="2" max="2" width="11.28515625" customWidth="1"/>
    <col min="3" max="3" width="11.5703125" customWidth="1"/>
  </cols>
  <sheetData>
    <row r="1" spans="1:3" x14ac:dyDescent="0.25">
      <c r="A1" t="s">
        <v>251</v>
      </c>
      <c r="B1" t="s">
        <v>252</v>
      </c>
      <c r="C1" t="s">
        <v>253</v>
      </c>
    </row>
    <row r="2" spans="1:3" x14ac:dyDescent="0.25">
      <c r="A2" t="s">
        <v>254</v>
      </c>
      <c r="B2" s="117">
        <v>45656</v>
      </c>
      <c r="C2" s="117">
        <v>45662</v>
      </c>
    </row>
    <row r="3" spans="1:3" x14ac:dyDescent="0.25">
      <c r="A3" t="s">
        <v>255</v>
      </c>
      <c r="B3" s="117">
        <v>45663</v>
      </c>
      <c r="C3" s="117">
        <v>45669</v>
      </c>
    </row>
    <row r="4" spans="1:3" x14ac:dyDescent="0.25">
      <c r="A4" t="s">
        <v>256</v>
      </c>
      <c r="B4" s="117">
        <v>45670</v>
      </c>
      <c r="C4" s="117">
        <v>45676</v>
      </c>
    </row>
    <row r="5" spans="1:3" x14ac:dyDescent="0.25">
      <c r="A5" t="s">
        <v>257</v>
      </c>
      <c r="B5" s="117">
        <v>45677</v>
      </c>
      <c r="C5" s="117">
        <v>45683</v>
      </c>
    </row>
    <row r="6" spans="1:3" x14ac:dyDescent="0.25">
      <c r="A6" t="s">
        <v>258</v>
      </c>
      <c r="B6" s="117">
        <v>45684</v>
      </c>
      <c r="C6" s="117">
        <v>45690</v>
      </c>
    </row>
    <row r="7" spans="1:3" x14ac:dyDescent="0.25">
      <c r="A7" t="s">
        <v>259</v>
      </c>
      <c r="B7" s="117">
        <v>45691</v>
      </c>
      <c r="C7" s="117">
        <v>45697</v>
      </c>
    </row>
    <row r="8" spans="1:3" x14ac:dyDescent="0.25">
      <c r="A8" t="s">
        <v>260</v>
      </c>
      <c r="B8" s="117">
        <v>45698</v>
      </c>
      <c r="C8" s="117">
        <v>45704</v>
      </c>
    </row>
    <row r="9" spans="1:3" x14ac:dyDescent="0.25">
      <c r="A9" t="s">
        <v>261</v>
      </c>
      <c r="B9" s="117">
        <v>45705</v>
      </c>
      <c r="C9" s="117">
        <v>45711</v>
      </c>
    </row>
    <row r="10" spans="1:3" x14ac:dyDescent="0.25">
      <c r="A10" t="s">
        <v>262</v>
      </c>
      <c r="B10" s="117">
        <v>45712</v>
      </c>
      <c r="C10" s="117">
        <v>45718</v>
      </c>
    </row>
    <row r="11" spans="1:3" x14ac:dyDescent="0.25">
      <c r="A11" t="s">
        <v>263</v>
      </c>
      <c r="B11" s="117">
        <v>45719</v>
      </c>
      <c r="C11" s="117">
        <v>45725</v>
      </c>
    </row>
    <row r="12" spans="1:3" x14ac:dyDescent="0.25">
      <c r="A12" t="s">
        <v>264</v>
      </c>
      <c r="B12" s="117">
        <v>45726</v>
      </c>
      <c r="C12" s="117">
        <v>45732</v>
      </c>
    </row>
    <row r="13" spans="1:3" x14ac:dyDescent="0.25">
      <c r="A13" t="s">
        <v>265</v>
      </c>
      <c r="B13" s="117">
        <v>45733</v>
      </c>
      <c r="C13" s="117">
        <v>45739</v>
      </c>
    </row>
    <row r="14" spans="1:3" x14ac:dyDescent="0.25">
      <c r="A14" t="s">
        <v>266</v>
      </c>
      <c r="B14" s="117">
        <v>45740</v>
      </c>
      <c r="C14" s="117">
        <v>45746</v>
      </c>
    </row>
    <row r="15" spans="1:3" x14ac:dyDescent="0.25">
      <c r="A15" t="s">
        <v>267</v>
      </c>
      <c r="B15" s="117">
        <v>45747</v>
      </c>
      <c r="C15" s="117">
        <v>45753</v>
      </c>
    </row>
    <row r="16" spans="1:3" x14ac:dyDescent="0.25">
      <c r="A16" t="s">
        <v>268</v>
      </c>
      <c r="B16" s="117">
        <v>45754</v>
      </c>
      <c r="C16" s="117">
        <v>45760</v>
      </c>
    </row>
    <row r="17" spans="1:3" x14ac:dyDescent="0.25">
      <c r="A17" t="s">
        <v>269</v>
      </c>
      <c r="B17" s="117">
        <v>45761</v>
      </c>
      <c r="C17" s="117">
        <v>45767</v>
      </c>
    </row>
    <row r="18" spans="1:3" x14ac:dyDescent="0.25">
      <c r="A18" t="s">
        <v>270</v>
      </c>
      <c r="B18" s="117">
        <v>45768</v>
      </c>
      <c r="C18" s="117">
        <v>45774</v>
      </c>
    </row>
    <row r="19" spans="1:3" x14ac:dyDescent="0.25">
      <c r="A19" t="s">
        <v>271</v>
      </c>
      <c r="B19" s="117">
        <v>45775</v>
      </c>
      <c r="C19" s="117">
        <v>45781</v>
      </c>
    </row>
    <row r="20" spans="1:3" x14ac:dyDescent="0.25">
      <c r="A20" t="s">
        <v>272</v>
      </c>
      <c r="B20" s="117">
        <v>45782</v>
      </c>
      <c r="C20" s="117">
        <v>45788</v>
      </c>
    </row>
    <row r="21" spans="1:3" x14ac:dyDescent="0.25">
      <c r="A21" t="s">
        <v>273</v>
      </c>
      <c r="B21" s="117">
        <v>45789</v>
      </c>
      <c r="C21" s="117">
        <v>45795</v>
      </c>
    </row>
    <row r="22" spans="1:3" x14ac:dyDescent="0.25">
      <c r="A22" t="s">
        <v>274</v>
      </c>
      <c r="B22" s="117">
        <v>45796</v>
      </c>
      <c r="C22" s="117">
        <v>45802</v>
      </c>
    </row>
    <row r="23" spans="1:3" x14ac:dyDescent="0.25">
      <c r="A23" t="s">
        <v>275</v>
      </c>
      <c r="B23" s="117">
        <v>45803</v>
      </c>
      <c r="C23" s="117">
        <v>45809</v>
      </c>
    </row>
    <row r="24" spans="1:3" x14ac:dyDescent="0.25">
      <c r="A24" t="s">
        <v>276</v>
      </c>
      <c r="B24" s="117">
        <v>45810</v>
      </c>
      <c r="C24" s="117">
        <v>45816</v>
      </c>
    </row>
    <row r="25" spans="1:3" x14ac:dyDescent="0.25">
      <c r="A25" t="s">
        <v>277</v>
      </c>
      <c r="B25" s="117">
        <v>45817</v>
      </c>
      <c r="C25" s="117">
        <v>45823</v>
      </c>
    </row>
    <row r="26" spans="1:3" x14ac:dyDescent="0.25">
      <c r="A26" t="s">
        <v>278</v>
      </c>
      <c r="B26" s="117">
        <v>45824</v>
      </c>
      <c r="C26" s="117">
        <v>45830</v>
      </c>
    </row>
    <row r="27" spans="1:3" x14ac:dyDescent="0.25">
      <c r="A27" t="s">
        <v>279</v>
      </c>
      <c r="B27" s="117">
        <v>45831</v>
      </c>
      <c r="C27" s="117">
        <v>45837</v>
      </c>
    </row>
    <row r="28" spans="1:3" x14ac:dyDescent="0.25">
      <c r="A28" t="s">
        <v>280</v>
      </c>
      <c r="B28" s="117">
        <v>45838</v>
      </c>
      <c r="C28" s="117">
        <v>45844</v>
      </c>
    </row>
    <row r="29" spans="1:3" x14ac:dyDescent="0.25">
      <c r="A29" t="s">
        <v>281</v>
      </c>
      <c r="B29" s="117">
        <v>45845</v>
      </c>
      <c r="C29" s="117">
        <v>45851</v>
      </c>
    </row>
    <row r="30" spans="1:3" x14ac:dyDescent="0.25">
      <c r="A30" t="s">
        <v>282</v>
      </c>
      <c r="B30" s="117">
        <v>45852</v>
      </c>
      <c r="C30" s="117">
        <v>45858</v>
      </c>
    </row>
    <row r="31" spans="1:3" x14ac:dyDescent="0.25">
      <c r="A31" t="s">
        <v>283</v>
      </c>
      <c r="B31" s="117">
        <v>45859</v>
      </c>
      <c r="C31" s="117">
        <v>45865</v>
      </c>
    </row>
    <row r="32" spans="1:3" x14ac:dyDescent="0.25">
      <c r="A32" t="s">
        <v>284</v>
      </c>
      <c r="B32" s="117">
        <v>45866</v>
      </c>
      <c r="C32" s="117">
        <v>45872</v>
      </c>
    </row>
    <row r="33" spans="1:3" x14ac:dyDescent="0.25">
      <c r="A33" t="s">
        <v>285</v>
      </c>
      <c r="B33" s="117">
        <v>45873</v>
      </c>
      <c r="C33" s="117">
        <v>45879</v>
      </c>
    </row>
    <row r="34" spans="1:3" x14ac:dyDescent="0.25">
      <c r="A34" t="s">
        <v>286</v>
      </c>
      <c r="B34" s="117">
        <v>45880</v>
      </c>
      <c r="C34" s="117">
        <v>45886</v>
      </c>
    </row>
    <row r="35" spans="1:3" x14ac:dyDescent="0.25">
      <c r="A35" t="s">
        <v>287</v>
      </c>
      <c r="B35" s="117">
        <v>45887</v>
      </c>
      <c r="C35" s="117">
        <v>45893</v>
      </c>
    </row>
    <row r="36" spans="1:3" x14ac:dyDescent="0.25">
      <c r="A36" t="s">
        <v>288</v>
      </c>
      <c r="B36" s="117">
        <v>45894</v>
      </c>
      <c r="C36" s="117">
        <v>45900</v>
      </c>
    </row>
    <row r="37" spans="1:3" x14ac:dyDescent="0.25">
      <c r="A37" t="s">
        <v>289</v>
      </c>
      <c r="B37" s="117">
        <v>45901</v>
      </c>
      <c r="C37" s="117">
        <v>45907</v>
      </c>
    </row>
    <row r="38" spans="1:3" x14ac:dyDescent="0.25">
      <c r="A38" t="s">
        <v>290</v>
      </c>
      <c r="B38" s="117">
        <v>45908</v>
      </c>
      <c r="C38" s="117">
        <v>45914</v>
      </c>
    </row>
    <row r="39" spans="1:3" x14ac:dyDescent="0.25">
      <c r="A39" t="s">
        <v>291</v>
      </c>
      <c r="B39" s="117">
        <v>45915</v>
      </c>
      <c r="C39" s="117">
        <v>45921</v>
      </c>
    </row>
    <row r="40" spans="1:3" x14ac:dyDescent="0.25">
      <c r="A40" t="s">
        <v>292</v>
      </c>
      <c r="B40" s="117">
        <v>45922</v>
      </c>
      <c r="C40" s="117">
        <v>45928</v>
      </c>
    </row>
    <row r="41" spans="1:3" x14ac:dyDescent="0.25">
      <c r="A41" t="s">
        <v>293</v>
      </c>
      <c r="B41" s="117">
        <v>45929</v>
      </c>
      <c r="C41" s="117">
        <v>45935</v>
      </c>
    </row>
    <row r="42" spans="1:3" x14ac:dyDescent="0.25">
      <c r="A42" t="s">
        <v>294</v>
      </c>
      <c r="B42" s="117">
        <v>45936</v>
      </c>
      <c r="C42" s="117">
        <v>45942</v>
      </c>
    </row>
    <row r="43" spans="1:3" x14ac:dyDescent="0.25">
      <c r="A43" t="s">
        <v>295</v>
      </c>
      <c r="B43" s="117">
        <v>45943</v>
      </c>
      <c r="C43" s="117">
        <v>45949</v>
      </c>
    </row>
    <row r="44" spans="1:3" x14ac:dyDescent="0.25">
      <c r="A44" t="s">
        <v>296</v>
      </c>
      <c r="B44" s="117">
        <v>45950</v>
      </c>
      <c r="C44" s="117">
        <v>45956</v>
      </c>
    </row>
    <row r="45" spans="1:3" x14ac:dyDescent="0.25">
      <c r="A45" t="s">
        <v>297</v>
      </c>
      <c r="B45" s="117">
        <v>45957</v>
      </c>
      <c r="C45" s="117">
        <v>45963</v>
      </c>
    </row>
    <row r="46" spans="1:3" x14ac:dyDescent="0.25">
      <c r="A46" t="s">
        <v>298</v>
      </c>
      <c r="B46" s="117">
        <v>45964</v>
      </c>
      <c r="C46" s="117">
        <v>45970</v>
      </c>
    </row>
    <row r="47" spans="1:3" x14ac:dyDescent="0.25">
      <c r="A47" t="s">
        <v>299</v>
      </c>
      <c r="B47" s="117">
        <v>45971</v>
      </c>
      <c r="C47" s="117">
        <v>45977</v>
      </c>
    </row>
    <row r="48" spans="1:3" x14ac:dyDescent="0.25">
      <c r="A48" t="s">
        <v>300</v>
      </c>
      <c r="B48" s="117">
        <v>45978</v>
      </c>
      <c r="C48" s="117">
        <v>45984</v>
      </c>
    </row>
    <row r="49" spans="1:3" x14ac:dyDescent="0.25">
      <c r="A49" t="s">
        <v>301</v>
      </c>
      <c r="B49" s="117">
        <v>45985</v>
      </c>
      <c r="C49" s="117">
        <v>45991</v>
      </c>
    </row>
    <row r="50" spans="1:3" x14ac:dyDescent="0.25">
      <c r="A50" t="s">
        <v>302</v>
      </c>
      <c r="B50" s="117">
        <v>45992</v>
      </c>
      <c r="C50" s="117">
        <v>45998</v>
      </c>
    </row>
    <row r="51" spans="1:3" x14ac:dyDescent="0.25">
      <c r="A51" t="s">
        <v>303</v>
      </c>
      <c r="B51" s="117">
        <v>45999</v>
      </c>
      <c r="C51" s="117">
        <v>46005</v>
      </c>
    </row>
    <row r="52" spans="1:3" x14ac:dyDescent="0.25">
      <c r="A52" t="s">
        <v>304</v>
      </c>
      <c r="B52" s="117">
        <v>46006</v>
      </c>
      <c r="C52" s="117">
        <v>46012</v>
      </c>
    </row>
    <row r="53" spans="1:3" x14ac:dyDescent="0.25">
      <c r="A53" t="s">
        <v>305</v>
      </c>
      <c r="B53" s="117">
        <v>46013</v>
      </c>
      <c r="C53" s="117">
        <v>46019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L125"/>
  <sheetViews>
    <sheetView topLeftCell="A28" zoomScale="70" zoomScaleNormal="70" workbookViewId="0">
      <selection activeCell="P69" sqref="P69"/>
    </sheetView>
  </sheetViews>
  <sheetFormatPr defaultColWidth="8.85546875" defaultRowHeight="15.75" x14ac:dyDescent="0.25"/>
  <cols>
    <col min="1" max="1" width="5.140625" style="5" customWidth="1"/>
    <col min="2" max="2" width="65.28515625" style="5" customWidth="1"/>
    <col min="3" max="3" width="20.5703125" style="5" customWidth="1"/>
    <col min="4" max="4" width="19.5703125" style="5" customWidth="1"/>
    <col min="5" max="5" width="17.42578125" style="5" customWidth="1"/>
    <col min="6" max="6" width="13.7109375" style="5" customWidth="1"/>
    <col min="7" max="7" width="11.42578125" style="5" customWidth="1"/>
    <col min="8" max="8" width="11" style="6" customWidth="1"/>
    <col min="9" max="9" width="13.85546875" style="7" customWidth="1"/>
    <col min="10" max="10" width="10.140625" style="7" customWidth="1"/>
    <col min="11" max="11" width="11.140625" style="7" customWidth="1"/>
    <col min="12" max="12" width="9.85546875" style="7" customWidth="1"/>
    <col min="13" max="14" width="12.140625" style="7" customWidth="1"/>
    <col min="15" max="15" width="27.85546875" style="5" customWidth="1"/>
    <col min="16" max="36" width="13.42578125" style="8" customWidth="1"/>
    <col min="37" max="63" width="13.42578125" style="5" customWidth="1"/>
    <col min="64" max="16384" width="8.85546875" style="5"/>
  </cols>
  <sheetData>
    <row r="2" spans="1:64" x14ac:dyDescent="0.25">
      <c r="B2" s="9" t="s">
        <v>0</v>
      </c>
      <c r="C2" s="4" t="s">
        <v>1</v>
      </c>
      <c r="D2" s="4"/>
    </row>
    <row r="3" spans="1:64" x14ac:dyDescent="0.25">
      <c r="B3" s="9" t="s">
        <v>2</v>
      </c>
      <c r="C3" s="4" t="s">
        <v>3</v>
      </c>
      <c r="D3" s="4"/>
    </row>
    <row r="4" spans="1:64" x14ac:dyDescent="0.25">
      <c r="B4" s="9" t="s">
        <v>4</v>
      </c>
      <c r="C4" s="4" t="s">
        <v>5</v>
      </c>
      <c r="D4" s="4"/>
      <c r="E4" s="10"/>
      <c r="F4" s="10"/>
    </row>
    <row r="5" spans="1:64" x14ac:dyDescent="0.25">
      <c r="B5" s="9" t="s">
        <v>6</v>
      </c>
      <c r="C5" s="3">
        <v>46262</v>
      </c>
      <c r="D5" s="3"/>
    </row>
    <row r="6" spans="1:64" x14ac:dyDescent="0.25">
      <c r="B6" s="9" t="s">
        <v>7</v>
      </c>
      <c r="C6" s="3">
        <v>46265</v>
      </c>
      <c r="D6" s="3"/>
    </row>
    <row r="7" spans="1:64" x14ac:dyDescent="0.25">
      <c r="B7" s="9" t="s">
        <v>8</v>
      </c>
      <c r="C7" s="3">
        <v>46156</v>
      </c>
      <c r="D7" s="3"/>
    </row>
    <row r="8" spans="1:64" x14ac:dyDescent="0.25">
      <c r="B8" s="9" t="s">
        <v>9</v>
      </c>
      <c r="C8" s="3">
        <v>46150</v>
      </c>
      <c r="D8" s="3"/>
    </row>
    <row r="9" spans="1:64" x14ac:dyDescent="0.25">
      <c r="B9" s="9"/>
      <c r="C9" s="11"/>
      <c r="D9" s="11"/>
    </row>
    <row r="10" spans="1:64" x14ac:dyDescent="0.25">
      <c r="B10" s="12" t="s">
        <v>10</v>
      </c>
      <c r="C10" s="12" t="s">
        <v>11</v>
      </c>
      <c r="D10" s="12" t="s">
        <v>12</v>
      </c>
    </row>
    <row r="11" spans="1:64" x14ac:dyDescent="0.25">
      <c r="B11" s="118">
        <f>ROUNDUP(J62,2)</f>
        <v>0.01</v>
      </c>
      <c r="C11" s="119">
        <f>ROUNDUP(L62,3)</f>
        <v>0.01</v>
      </c>
      <c r="D11" s="120">
        <f>C11-B11</f>
        <v>0</v>
      </c>
      <c r="H11" s="16"/>
    </row>
    <row r="16" spans="1:64" s="18" customFormat="1" x14ac:dyDescent="0.25">
      <c r="A16" s="17"/>
      <c r="H16" s="19"/>
      <c r="I16" s="20"/>
      <c r="J16" s="20"/>
      <c r="K16" s="20"/>
      <c r="L16" s="20"/>
      <c r="M16" s="20"/>
      <c r="N16" s="20"/>
      <c r="P16" s="21">
        <v>46149</v>
      </c>
      <c r="Q16" s="21">
        <f t="shared" ref="Q16:BK16" si="0">P17+1</f>
        <v>46151</v>
      </c>
      <c r="R16" s="21">
        <f t="shared" si="0"/>
        <v>46158</v>
      </c>
      <c r="S16" s="21">
        <f t="shared" si="0"/>
        <v>46165</v>
      </c>
      <c r="T16" s="21">
        <f t="shared" si="0"/>
        <v>46172</v>
      </c>
      <c r="U16" s="21">
        <f t="shared" si="0"/>
        <v>46179</v>
      </c>
      <c r="V16" s="21">
        <f t="shared" si="0"/>
        <v>46186</v>
      </c>
      <c r="W16" s="21">
        <f t="shared" si="0"/>
        <v>46193</v>
      </c>
      <c r="X16" s="21">
        <f t="shared" si="0"/>
        <v>46200</v>
      </c>
      <c r="Y16" s="21">
        <f t="shared" si="0"/>
        <v>46207</v>
      </c>
      <c r="Z16" s="21">
        <f t="shared" si="0"/>
        <v>46214</v>
      </c>
      <c r="AA16" s="21">
        <f t="shared" si="0"/>
        <v>46221</v>
      </c>
      <c r="AB16" s="21">
        <f t="shared" si="0"/>
        <v>46228</v>
      </c>
      <c r="AC16" s="21">
        <f t="shared" si="0"/>
        <v>46235</v>
      </c>
      <c r="AD16" s="21">
        <f t="shared" si="0"/>
        <v>46242</v>
      </c>
      <c r="AE16" s="21">
        <f t="shared" si="0"/>
        <v>46249</v>
      </c>
      <c r="AF16" s="21">
        <f t="shared" si="0"/>
        <v>46256</v>
      </c>
      <c r="AG16" s="21">
        <f t="shared" si="0"/>
        <v>46263</v>
      </c>
      <c r="AH16" s="21">
        <f t="shared" si="0"/>
        <v>46270</v>
      </c>
      <c r="AI16" s="21">
        <f t="shared" si="0"/>
        <v>46277</v>
      </c>
      <c r="AJ16" s="21">
        <f t="shared" si="0"/>
        <v>46284</v>
      </c>
      <c r="AK16" s="21">
        <f t="shared" si="0"/>
        <v>46291</v>
      </c>
      <c r="AL16" s="21">
        <f t="shared" si="0"/>
        <v>46298</v>
      </c>
      <c r="AM16" s="21">
        <f t="shared" si="0"/>
        <v>46305</v>
      </c>
      <c r="AN16" s="21">
        <f t="shared" si="0"/>
        <v>46312</v>
      </c>
      <c r="AO16" s="21">
        <f t="shared" si="0"/>
        <v>46319</v>
      </c>
      <c r="AP16" s="21">
        <f t="shared" si="0"/>
        <v>46326</v>
      </c>
      <c r="AQ16" s="21">
        <f t="shared" si="0"/>
        <v>46333</v>
      </c>
      <c r="AR16" s="21">
        <f t="shared" si="0"/>
        <v>46340</v>
      </c>
      <c r="AS16" s="21">
        <f t="shared" si="0"/>
        <v>46347</v>
      </c>
      <c r="AT16" s="21">
        <f t="shared" si="0"/>
        <v>46354</v>
      </c>
      <c r="AU16" s="21">
        <f t="shared" si="0"/>
        <v>46361</v>
      </c>
      <c r="AV16" s="21">
        <f t="shared" si="0"/>
        <v>46368</v>
      </c>
      <c r="AW16" s="21">
        <f t="shared" si="0"/>
        <v>46375</v>
      </c>
      <c r="AX16" s="21">
        <f t="shared" si="0"/>
        <v>46382</v>
      </c>
      <c r="AY16" s="21">
        <f t="shared" si="0"/>
        <v>46389</v>
      </c>
      <c r="AZ16" s="21">
        <f t="shared" si="0"/>
        <v>46396</v>
      </c>
      <c r="BA16" s="21">
        <f t="shared" si="0"/>
        <v>46403</v>
      </c>
      <c r="BB16" s="21">
        <f t="shared" si="0"/>
        <v>46410</v>
      </c>
      <c r="BC16" s="21">
        <f t="shared" si="0"/>
        <v>46417</v>
      </c>
      <c r="BD16" s="21">
        <f t="shared" si="0"/>
        <v>46424</v>
      </c>
      <c r="BE16" s="21">
        <f t="shared" si="0"/>
        <v>46431</v>
      </c>
      <c r="BF16" s="21">
        <f t="shared" si="0"/>
        <v>46438</v>
      </c>
      <c r="BG16" s="21">
        <f t="shared" si="0"/>
        <v>46445</v>
      </c>
      <c r="BH16" s="21">
        <f t="shared" si="0"/>
        <v>46452</v>
      </c>
      <c r="BI16" s="21">
        <f t="shared" si="0"/>
        <v>46459</v>
      </c>
      <c r="BJ16" s="21">
        <f t="shared" si="0"/>
        <v>46466</v>
      </c>
      <c r="BK16" s="21">
        <f t="shared" si="0"/>
        <v>46473</v>
      </c>
      <c r="BL16" s="22"/>
    </row>
    <row r="17" spans="1:63" s="24" customFormat="1" x14ac:dyDescent="0.25">
      <c r="A17" s="23"/>
      <c r="H17" s="25"/>
      <c r="I17" s="26"/>
      <c r="J17" s="26"/>
      <c r="K17" s="26"/>
      <c r="L17" s="26"/>
      <c r="M17" s="26"/>
      <c r="N17" s="26"/>
      <c r="P17" s="27">
        <v>46150</v>
      </c>
      <c r="Q17" s="27">
        <f t="shared" ref="Q17:BK17" si="1">P17+7</f>
        <v>46157</v>
      </c>
      <c r="R17" s="27">
        <f t="shared" si="1"/>
        <v>46164</v>
      </c>
      <c r="S17" s="27">
        <f t="shared" si="1"/>
        <v>46171</v>
      </c>
      <c r="T17" s="27">
        <f t="shared" si="1"/>
        <v>46178</v>
      </c>
      <c r="U17" s="27">
        <f t="shared" si="1"/>
        <v>46185</v>
      </c>
      <c r="V17" s="27">
        <f t="shared" si="1"/>
        <v>46192</v>
      </c>
      <c r="W17" s="27">
        <f t="shared" si="1"/>
        <v>46199</v>
      </c>
      <c r="X17" s="27">
        <f t="shared" si="1"/>
        <v>46206</v>
      </c>
      <c r="Y17" s="27">
        <f t="shared" si="1"/>
        <v>46213</v>
      </c>
      <c r="Z17" s="27">
        <f t="shared" si="1"/>
        <v>46220</v>
      </c>
      <c r="AA17" s="27">
        <f t="shared" si="1"/>
        <v>46227</v>
      </c>
      <c r="AB17" s="27">
        <f t="shared" si="1"/>
        <v>46234</v>
      </c>
      <c r="AC17" s="27">
        <f t="shared" si="1"/>
        <v>46241</v>
      </c>
      <c r="AD17" s="27">
        <f t="shared" si="1"/>
        <v>46248</v>
      </c>
      <c r="AE17" s="27">
        <f t="shared" si="1"/>
        <v>46255</v>
      </c>
      <c r="AF17" s="27">
        <f t="shared" si="1"/>
        <v>46262</v>
      </c>
      <c r="AG17" s="27">
        <f t="shared" si="1"/>
        <v>46269</v>
      </c>
      <c r="AH17" s="27">
        <f t="shared" si="1"/>
        <v>46276</v>
      </c>
      <c r="AI17" s="27">
        <f t="shared" si="1"/>
        <v>46283</v>
      </c>
      <c r="AJ17" s="27">
        <f t="shared" si="1"/>
        <v>46290</v>
      </c>
      <c r="AK17" s="27">
        <f t="shared" si="1"/>
        <v>46297</v>
      </c>
      <c r="AL17" s="27">
        <f t="shared" si="1"/>
        <v>46304</v>
      </c>
      <c r="AM17" s="27">
        <f t="shared" si="1"/>
        <v>46311</v>
      </c>
      <c r="AN17" s="27">
        <f t="shared" si="1"/>
        <v>46318</v>
      </c>
      <c r="AO17" s="27">
        <f t="shared" si="1"/>
        <v>46325</v>
      </c>
      <c r="AP17" s="27">
        <f t="shared" si="1"/>
        <v>46332</v>
      </c>
      <c r="AQ17" s="27">
        <f t="shared" si="1"/>
        <v>46339</v>
      </c>
      <c r="AR17" s="27">
        <f t="shared" si="1"/>
        <v>46346</v>
      </c>
      <c r="AS17" s="27">
        <f t="shared" si="1"/>
        <v>46353</v>
      </c>
      <c r="AT17" s="27">
        <f t="shared" si="1"/>
        <v>46360</v>
      </c>
      <c r="AU17" s="27">
        <f t="shared" si="1"/>
        <v>46367</v>
      </c>
      <c r="AV17" s="27">
        <f t="shared" si="1"/>
        <v>46374</v>
      </c>
      <c r="AW17" s="27">
        <f t="shared" si="1"/>
        <v>46381</v>
      </c>
      <c r="AX17" s="27">
        <f t="shared" si="1"/>
        <v>46388</v>
      </c>
      <c r="AY17" s="27">
        <f t="shared" si="1"/>
        <v>46395</v>
      </c>
      <c r="AZ17" s="27">
        <f t="shared" si="1"/>
        <v>46402</v>
      </c>
      <c r="BA17" s="27">
        <f t="shared" si="1"/>
        <v>46409</v>
      </c>
      <c r="BB17" s="27">
        <f t="shared" si="1"/>
        <v>46416</v>
      </c>
      <c r="BC17" s="27">
        <f t="shared" si="1"/>
        <v>46423</v>
      </c>
      <c r="BD17" s="27">
        <f t="shared" si="1"/>
        <v>46430</v>
      </c>
      <c r="BE17" s="27">
        <f t="shared" si="1"/>
        <v>46437</v>
      </c>
      <c r="BF17" s="27">
        <f t="shared" si="1"/>
        <v>46444</v>
      </c>
      <c r="BG17" s="27">
        <f t="shared" si="1"/>
        <v>46451</v>
      </c>
      <c r="BH17" s="27">
        <f t="shared" si="1"/>
        <v>46458</v>
      </c>
      <c r="BI17" s="27">
        <f t="shared" si="1"/>
        <v>46465</v>
      </c>
      <c r="BJ17" s="27">
        <f t="shared" si="1"/>
        <v>46472</v>
      </c>
      <c r="BK17" s="27">
        <f t="shared" si="1"/>
        <v>46479</v>
      </c>
    </row>
    <row r="18" spans="1:63" ht="15.75" customHeight="1" x14ac:dyDescent="0.25">
      <c r="A18" s="28" t="s">
        <v>13</v>
      </c>
      <c r="B18" s="28" t="s">
        <v>14</v>
      </c>
      <c r="C18" s="29" t="s">
        <v>15</v>
      </c>
      <c r="D18" s="30" t="s">
        <v>16</v>
      </c>
      <c r="E18" s="30" t="s">
        <v>17</v>
      </c>
      <c r="F18" s="30"/>
      <c r="G18" s="30"/>
      <c r="H18" s="19" t="s">
        <v>19</v>
      </c>
      <c r="I18" s="2" t="s">
        <v>20</v>
      </c>
      <c r="J18" s="2"/>
      <c r="K18" s="2" t="s">
        <v>21</v>
      </c>
      <c r="L18" s="2"/>
      <c r="M18" s="32" t="s">
        <v>12</v>
      </c>
      <c r="N18" s="32"/>
      <c r="O18" s="121"/>
      <c r="P18" s="34" t="s">
        <v>22</v>
      </c>
      <c r="Q18" s="34" t="s">
        <v>23</v>
      </c>
      <c r="R18" s="34" t="s">
        <v>24</v>
      </c>
      <c r="S18" s="34" t="s">
        <v>25</v>
      </c>
      <c r="T18" s="34" t="s">
        <v>26</v>
      </c>
      <c r="U18" s="34" t="s">
        <v>27</v>
      </c>
      <c r="V18" s="34" t="s">
        <v>28</v>
      </c>
      <c r="W18" s="34" t="s">
        <v>29</v>
      </c>
      <c r="X18" s="34" t="s">
        <v>30</v>
      </c>
      <c r="Y18" s="34" t="s">
        <v>31</v>
      </c>
      <c r="Z18" s="34" t="s">
        <v>32</v>
      </c>
      <c r="AA18" s="34" t="s">
        <v>33</v>
      </c>
      <c r="AB18" s="34" t="s">
        <v>34</v>
      </c>
      <c r="AC18" s="34" t="s">
        <v>35</v>
      </c>
      <c r="AD18" s="34" t="s">
        <v>36</v>
      </c>
      <c r="AE18" s="34" t="s">
        <v>37</v>
      </c>
      <c r="AF18" s="34" t="s">
        <v>38</v>
      </c>
      <c r="AG18" s="34" t="s">
        <v>39</v>
      </c>
      <c r="AH18" s="34" t="s">
        <v>40</v>
      </c>
      <c r="AI18" s="34" t="s">
        <v>41</v>
      </c>
      <c r="AJ18" s="34" t="s">
        <v>42</v>
      </c>
      <c r="AK18" s="34" t="s">
        <v>43</v>
      </c>
      <c r="AL18" s="34" t="s">
        <v>44</v>
      </c>
      <c r="AM18" s="34" t="s">
        <v>45</v>
      </c>
      <c r="AN18" s="34" t="s">
        <v>46</v>
      </c>
      <c r="AO18" s="34" t="s">
        <v>47</v>
      </c>
      <c r="AP18" s="34" t="s">
        <v>48</v>
      </c>
      <c r="AQ18" s="34" t="s">
        <v>49</v>
      </c>
      <c r="AR18" s="34" t="s">
        <v>50</v>
      </c>
      <c r="AS18" s="34" t="s">
        <v>51</v>
      </c>
      <c r="AT18" s="34" t="s">
        <v>52</v>
      </c>
      <c r="AU18" s="34" t="s">
        <v>53</v>
      </c>
      <c r="AV18" s="34" t="s">
        <v>54</v>
      </c>
      <c r="AW18" s="34" t="s">
        <v>55</v>
      </c>
      <c r="AX18" s="34" t="s">
        <v>56</v>
      </c>
      <c r="AY18" s="34" t="s">
        <v>57</v>
      </c>
      <c r="AZ18" s="34" t="s">
        <v>58</v>
      </c>
      <c r="BA18" s="34" t="s">
        <v>59</v>
      </c>
      <c r="BB18" s="34" t="s">
        <v>60</v>
      </c>
      <c r="BC18" s="34" t="s">
        <v>61</v>
      </c>
      <c r="BD18" s="34" t="s">
        <v>62</v>
      </c>
      <c r="BE18" s="34" t="s">
        <v>63</v>
      </c>
      <c r="BF18" s="34" t="s">
        <v>64</v>
      </c>
      <c r="BG18" s="34" t="s">
        <v>65</v>
      </c>
      <c r="BH18" s="34" t="s">
        <v>66</v>
      </c>
      <c r="BI18" s="34" t="s">
        <v>67</v>
      </c>
      <c r="BJ18" s="34" t="s">
        <v>68</v>
      </c>
      <c r="BK18" s="34" t="s">
        <v>69</v>
      </c>
    </row>
    <row r="19" spans="1:63" x14ac:dyDescent="0.25">
      <c r="A19" s="28"/>
      <c r="B19" s="28"/>
      <c r="C19" s="29"/>
      <c r="D19" s="30"/>
      <c r="E19" s="30"/>
      <c r="F19" s="30"/>
      <c r="G19" s="30"/>
      <c r="H19" s="19"/>
      <c r="I19" s="20" t="s">
        <v>70</v>
      </c>
      <c r="J19" s="20" t="s">
        <v>71</v>
      </c>
      <c r="K19" s="20" t="s">
        <v>11</v>
      </c>
      <c r="L19" s="20" t="s">
        <v>71</v>
      </c>
      <c r="M19" s="20" t="s">
        <v>71</v>
      </c>
      <c r="N19" s="20"/>
      <c r="O19" s="30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</row>
    <row r="20" spans="1:63" s="9" customFormat="1" x14ac:dyDescent="0.25">
      <c r="A20" s="36" t="s">
        <v>72</v>
      </c>
      <c r="B20" s="9" t="s">
        <v>73</v>
      </c>
      <c r="C20" s="37">
        <f>SUM(C21:C21)</f>
        <v>0.01</v>
      </c>
      <c r="D20" s="38">
        <v>46149</v>
      </c>
      <c r="E20" s="38">
        <v>46149</v>
      </c>
      <c r="F20" s="39"/>
      <c r="G20" s="39"/>
      <c r="H20" s="40">
        <f>NETWORKDAYS(D20,E20,Libur!$A$2:$A$56)</f>
        <v>1</v>
      </c>
      <c r="I20" s="54">
        <f>IF($C$8&gt;E20,100/100,IF($C$8&lt;=D20,0,(NETWORKDAYS(D20,$C$8)/NETWORKDAYS(D20,E20))))</f>
        <v>1</v>
      </c>
      <c r="J20" s="54">
        <f>SUM(J21:J21)</f>
        <v>0.01</v>
      </c>
      <c r="K20" s="54">
        <f>AVERAGE(K21:K21)</f>
        <v>1</v>
      </c>
      <c r="L20" s="54">
        <f>SUM(L21:L21)</f>
        <v>0.01</v>
      </c>
      <c r="M20" s="54">
        <f>SUM(M21:M21)</f>
        <v>0</v>
      </c>
      <c r="N20" s="42"/>
      <c r="O20" s="39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</row>
    <row r="21" spans="1:63" x14ac:dyDescent="0.25">
      <c r="A21" s="45"/>
      <c r="B21" s="46" t="s">
        <v>74</v>
      </c>
      <c r="C21" s="7">
        <v>0.01</v>
      </c>
      <c r="D21" s="47">
        <v>46149</v>
      </c>
      <c r="E21" s="47">
        <v>46149</v>
      </c>
      <c r="F21" s="7">
        <f>C21</f>
        <v>0.01</v>
      </c>
      <c r="G21" s="48">
        <f>SUM(P21:AZ21)</f>
        <v>0.01</v>
      </c>
      <c r="H21" s="49">
        <f>NETWORKDAYS(D21,E21,Libur!$A$2:$A$56)</f>
        <v>1</v>
      </c>
      <c r="I21" s="48">
        <f>IF($C$8&gt;E21,100/100,IF($C$8&lt;=D21,0,(NETWORKDAYS(D21,$C$8)/NETWORKDAYS(D21,E21))))</f>
        <v>1</v>
      </c>
      <c r="J21" s="48">
        <f>I21*F21</f>
        <v>0.01</v>
      </c>
      <c r="K21" s="48">
        <v>1</v>
      </c>
      <c r="L21" s="48">
        <f>C21*K21</f>
        <v>0.01</v>
      </c>
      <c r="M21" s="48">
        <f>L21-J21</f>
        <v>0</v>
      </c>
      <c r="N21" s="51">
        <f>C21</f>
        <v>0.01</v>
      </c>
      <c r="O21" s="52">
        <f>SUM(P21:BK21)</f>
        <v>0.01</v>
      </c>
      <c r="P21" s="53">
        <f>IF(AND($D21&lt;=P$17,$E21&gt;=P$16),$C21*NETWORKDAYS(MAX($D21,P$16),MIN($E21,P$17),Libur!$A$2:$A$38)/NETWORKDAYS($D21,$E21,Libur!$A$2:$A$38),0)</f>
        <v>0.01</v>
      </c>
      <c r="Q21" s="53">
        <f>IF(AND($D21&lt;=Q$17,$E21&gt;=Q$16),$C21*NETWORKDAYS(MAX($D21,Q$16),MIN($E21,Q$17),Libur!$A$2:$A$38)/NETWORKDAYS($D21,$E21,Libur!$A$2:$A$38),0)</f>
        <v>0</v>
      </c>
      <c r="R21" s="53">
        <f>IF(AND($D21&lt;=R$17,$E21&gt;=R$16),$C21*NETWORKDAYS(MAX($D21,R$16),MIN($E21,R$17),Libur!$A$2:$A$38)/NETWORKDAYS($D21,$E21,Libur!$A$2:$A$38),0)</f>
        <v>0</v>
      </c>
      <c r="S21" s="53">
        <f>IF(AND($D21&lt;=S$17,$E21&gt;=S$16),$C21*NETWORKDAYS(MAX($D21,S$16),MIN($E21,S$17),Libur!$A$2:$A$38)/NETWORKDAYS($D21,$E21,Libur!$A$2:$A$38),0)</f>
        <v>0</v>
      </c>
      <c r="T21" s="53">
        <f>IF(AND($D21&lt;=T$17,$E21&gt;=T$16),$C21*NETWORKDAYS(MAX($D21,T$16),MIN($E21,T$17),Libur!$A$2:$A$38)/NETWORKDAYS($D21,$E21,Libur!$A$2:$A$38),0)</f>
        <v>0</v>
      </c>
      <c r="U21" s="53">
        <f>IF(AND($D21&lt;=U$17,$E21&gt;=U$16),$C21*NETWORKDAYS(MAX($D21,U$16),MIN($E21,U$17),Libur!$A$2:$A$38)/NETWORKDAYS($D21,$E21,Libur!$A$2:$A$38),0)</f>
        <v>0</v>
      </c>
      <c r="V21" s="53">
        <f>IF(AND($D21&lt;=V$17,$E21&gt;=V$16),$C21*NETWORKDAYS(MAX($D21,V$16),MIN($E21,V$17),Libur!$A$2:$A$38)/NETWORKDAYS($D21,$E21,Libur!$A$2:$A$38),0)</f>
        <v>0</v>
      </c>
      <c r="W21" s="53">
        <f>IF(AND($D21&lt;=W$17,$E21&gt;=W$16),$C21*NETWORKDAYS(MAX($D21,W$16),MIN($E21,W$17),Libur!$A$2:$A$38)/NETWORKDAYS($D21,$E21,Libur!$A$2:$A$38),0)</f>
        <v>0</v>
      </c>
      <c r="X21" s="53">
        <f>IF(AND($D21&lt;=X$17,$E21&gt;=X$16),$C21*NETWORKDAYS(MAX($D21,X$16),MIN($E21,X$17),Libur!$A$2:$A$38)/NETWORKDAYS($D21,$E21,Libur!$A$2:$A$38),0)</f>
        <v>0</v>
      </c>
      <c r="Y21" s="53">
        <f>IF(AND($D21&lt;=Y$17,$E21&gt;=Y$16),$C21*NETWORKDAYS(MAX($D21,Y$16),MIN($E21,Y$17),Libur!$A$2:$A$38)/NETWORKDAYS($D21,$E21,Libur!$A$2:$A$38),0)</f>
        <v>0</v>
      </c>
      <c r="Z21" s="53">
        <f>IF(AND($D21&lt;=Z$17,$E21&gt;=Z$16),$C21*NETWORKDAYS(MAX($D21,Z$16),MIN($E21,Z$17),Libur!$A$2:$A$38)/NETWORKDAYS($D21,$E21,Libur!$A$2:$A$38),0)</f>
        <v>0</v>
      </c>
      <c r="AA21" s="53">
        <f>IF(AND($D21&lt;=AA$17,$E21&gt;=AA$16),$C21*NETWORKDAYS(MAX($D21,AA$16),MIN($E21,AA$17),Libur!$A$2:$A$38)/NETWORKDAYS($D21,$E21,Libur!$A$2:$A$38),0)</f>
        <v>0</v>
      </c>
      <c r="AB21" s="53">
        <f>IF(AND($D21&lt;=AB$17,$E21&gt;=AB$16),$C21*NETWORKDAYS(MAX($D21,AB$16),MIN($E21,AB$17),Libur!$A$2:$A$38)/NETWORKDAYS($D21,$E21,Libur!$A$2:$A$38),0)</f>
        <v>0</v>
      </c>
      <c r="AC21" s="53">
        <f>IF(AND($D21&lt;=AC$17,$E21&gt;=AC$16),$C21*NETWORKDAYS(MAX($D21,AC$16),MIN($E21,AC$17),Libur!$A$2:$A$38)/NETWORKDAYS($D21,$E21,Libur!$A$2:$A$38),0)</f>
        <v>0</v>
      </c>
      <c r="AD21" s="53">
        <f>IF(AND($D21&lt;=AD$17,$E21&gt;=AD$16),$C21*NETWORKDAYS(MAX($D21,AD$16),MIN($E21,AD$17),Libur!$A$2:$A$38)/NETWORKDAYS($D21,$E21,Libur!$A$2:$A$38),0)</f>
        <v>0</v>
      </c>
      <c r="AE21" s="53">
        <f>IF(AND($D21&lt;=AE$17,$E21&gt;=AE$16),$C21*NETWORKDAYS(MAX($D21,AE$16),MIN($E21,AE$17),Libur!$A$2:$A$38)/NETWORKDAYS($D21,$E21,Libur!$A$2:$A$38),0)</f>
        <v>0</v>
      </c>
      <c r="AF21" s="53">
        <f>IF(AND($D21&lt;=AF$17,$E21&gt;=AF$16),$C21*NETWORKDAYS(MAX($D21,AF$16),MIN($E21,AF$17),Libur!$A$2:$A$38)/NETWORKDAYS($D21,$E21,Libur!$A$2:$A$38),0)</f>
        <v>0</v>
      </c>
      <c r="AG21" s="53">
        <f>IF(AND($D21&lt;=AG$17,$E21&gt;=AG$16),$C21*NETWORKDAYS(MAX($D21,AG$16),MIN($E21,AG$17),Libur!$A$2:$A$38)/NETWORKDAYS($D21,$E21,Libur!$A$2:$A$38),0)</f>
        <v>0</v>
      </c>
      <c r="AH21" s="53">
        <f>IF(AND($D21&lt;=AH$17,$E21&gt;=AH$16),$C21*NETWORKDAYS(MAX($D21,AH$16),MIN($E21,AH$17),Libur!$A$2:$A$38)/NETWORKDAYS($D21,$E21,Libur!$A$2:$A$38),0)</f>
        <v>0</v>
      </c>
      <c r="AI21" s="53">
        <f>IF(AND($D21&lt;=AI$17,$E21&gt;=AI$16),$C21*NETWORKDAYS(MAX($D21,AI$16),MIN($E21,AI$17),Libur!$A$2:$A$38)/NETWORKDAYS($D21,$E21,Libur!$A$2:$A$38),0)</f>
        <v>0</v>
      </c>
      <c r="AJ21" s="53">
        <f>IF(AND($D21&lt;=AJ$17,$E21&gt;=AJ$16),$C21*NETWORKDAYS(MAX($D21,AJ$16),MIN($E21,AJ$17),Libur!$A$2:$A$38)/NETWORKDAYS($D21,$E21,Libur!$A$2:$A$38),0)</f>
        <v>0</v>
      </c>
      <c r="AK21" s="53">
        <f>IF(AND($D21&lt;=AK$17,$E21&gt;=AK$16),$C21*NETWORKDAYS(MAX($D21,AK$16),MIN($E21,AK$17),Libur!$A$2:$A$38)/NETWORKDAYS($D21,$E21,Libur!$A$2:$A$38),0)</f>
        <v>0</v>
      </c>
      <c r="AL21" s="53">
        <f>IF(AND($D21&lt;=AL$17,$E21&gt;=AL$16),$C21*NETWORKDAYS(MAX($D21,AL$16),MIN($E21,AL$17),Libur!$A$2:$A$38)/NETWORKDAYS($D21,$E21,Libur!$A$2:$A$38),0)</f>
        <v>0</v>
      </c>
      <c r="AM21" s="53">
        <f>IF(AND($D21&lt;=AM$17,$E21&gt;=AM$16),$C21*NETWORKDAYS(MAX($D21,AM$16),MIN($E21,AM$17),Libur!$A$2:$A$38)/NETWORKDAYS($D21,$E21,Libur!$A$2:$A$38),0)</f>
        <v>0</v>
      </c>
      <c r="AN21" s="53">
        <f>IF(AND($D21&lt;=AN$17,$E21&gt;=AN$16),$C21*NETWORKDAYS(MAX($D21,AN$16),MIN($E21,AN$17),Libur!$A$2:$A$38)/NETWORKDAYS($D21,$E21,Libur!$A$2:$A$38),0)</f>
        <v>0</v>
      </c>
      <c r="AO21" s="53">
        <f>IF(AND($D21&lt;=AO$17,$E21&gt;=AO$16),$C21*NETWORKDAYS(MAX($D21,AO$16),MIN($E21,AO$17),Libur!$A$2:$A$38)/NETWORKDAYS($D21,$E21,Libur!$A$2:$A$38),0)</f>
        <v>0</v>
      </c>
      <c r="AP21" s="53">
        <f>IF(AND($D21&lt;=AP$17,$E21&gt;=AP$16),$C21*NETWORKDAYS(MAX($D21,AP$16),MIN($E21,AP$17),Libur!$A$2:$A$38)/NETWORKDAYS($D21,$E21,Libur!$A$2:$A$38),0)</f>
        <v>0</v>
      </c>
      <c r="AQ21" s="53">
        <f>IF(AND($D21&lt;=AQ$17,$E21&gt;=AQ$16),$C21*NETWORKDAYS(MAX($D21,AQ$16),MIN($E21,AQ$17),Libur!$A$2:$A$38)/NETWORKDAYS($D21,$E21,Libur!$A$2:$A$38),0)</f>
        <v>0</v>
      </c>
      <c r="AR21" s="53">
        <f>IF(AND($D21&lt;=AR$17,$E21&gt;=AR$16),$C21*NETWORKDAYS(MAX($D21,AR$16),MIN($E21,AR$17),Libur!$A$2:$A$38)/NETWORKDAYS($D21,$E21,Libur!$A$2:$A$38),0)</f>
        <v>0</v>
      </c>
      <c r="AS21" s="53">
        <f>IF(AND($D21&lt;=AS$17,$E21&gt;=AS$16),$C21*NETWORKDAYS(MAX($D21,AS$16),MIN($E21,AS$17),Libur!$A$2:$A$38)/NETWORKDAYS($D21,$E21,Libur!$A$2:$A$38),0)</f>
        <v>0</v>
      </c>
      <c r="AT21" s="53">
        <f>IF(AND($D21&lt;=AT$17,$E21&gt;=AT$16),$C21*NETWORKDAYS(MAX($D21,AT$16),MIN($E21,AT$17),Libur!$A$2:$A$38)/NETWORKDAYS($D21,$E21,Libur!$A$2:$A$38),0)</f>
        <v>0</v>
      </c>
      <c r="AU21" s="53">
        <f>IF(AND($D21&lt;=AU$17,$E21&gt;=AU$16),$C21*NETWORKDAYS(MAX($D21,AU$16),MIN($E21,AU$17),Libur!$A$2:$A$38)/NETWORKDAYS($D21,$E21,Libur!$A$2:$A$38),0)</f>
        <v>0</v>
      </c>
      <c r="AV21" s="53">
        <f>IF(AND($D21&lt;=AV$17,$E21&gt;=AV$16),$C21*NETWORKDAYS(MAX($D21,AV$16),MIN($E21,AV$17),Libur!$A$2:$A$38)/NETWORKDAYS($D21,$E21,Libur!$A$2:$A$38),0)</f>
        <v>0</v>
      </c>
      <c r="AW21" s="53">
        <f>IF(AND($D21&lt;=AW$17,$E21&gt;=AW$16),$C21*NETWORKDAYS(MAX($D21,AW$16),MIN($E21,AW$17),Libur!$A$2:$A$38)/NETWORKDAYS($D21,$E21,Libur!$A$2:$A$38),0)</f>
        <v>0</v>
      </c>
      <c r="AX21" s="53">
        <f>IF(AND($D21&lt;=AX$17,$E21&gt;=AX$16),$C21*NETWORKDAYS(MAX($D21,AX$16),MIN($E21,AX$17),Libur!$A$2:$A$38)/NETWORKDAYS($D21,$E21,Libur!$A$2:$A$38),0)</f>
        <v>0</v>
      </c>
      <c r="AY21" s="53">
        <f>IF(AND($D21&lt;=AY$17,$E21&gt;=AY$16),$C21*NETWORKDAYS(MAX($D21,AY$16),MIN($E21,AY$17),Libur!$A$2:$A$38)/NETWORKDAYS($D21,$E21,Libur!$A$2:$A$38),0)</f>
        <v>0</v>
      </c>
      <c r="AZ21" s="53">
        <f>IF(AND($D21&lt;=AZ$17,$E21&gt;=AZ$16),$C21*NETWORKDAYS(MAX($D21,AZ$16),MIN($E21,AZ$17),Libur!$A$2:$A$38)/NETWORKDAYS($D21,$E21,Libur!$A$2:$A$38),0)</f>
        <v>0</v>
      </c>
      <c r="BA21" s="53">
        <f>IF(AND($D21&lt;=BA$17,$E21&gt;=BA$16),$C21*NETWORKDAYS(MAX($D21,BA$16),MIN($E21,BA$17),Libur!$A$2:$A$38)/NETWORKDAYS($D21,$E21,Libur!$A$2:$A$38),0)</f>
        <v>0</v>
      </c>
      <c r="BB21" s="53">
        <f>IF(AND($D21&lt;=BB$17,$E21&gt;=BB$16),$C21*NETWORKDAYS(MAX($D21,BB$16),MIN($E21,BB$17),Libur!$A$2:$A$38)/NETWORKDAYS($D21,$E21,Libur!$A$2:$A$38),0)</f>
        <v>0</v>
      </c>
      <c r="BC21" s="53">
        <f>IF(AND($D21&lt;=BC$17,$E21&gt;=BC$16),$C21*NETWORKDAYS(MAX($D21,BC$16),MIN($E21,BC$17),Libur!$A$2:$A$38)/NETWORKDAYS($D21,$E21,Libur!$A$2:$A$38),0)</f>
        <v>0</v>
      </c>
      <c r="BD21" s="53">
        <f>IF(AND($D21&lt;=BD$17,$E21&gt;=BD$16),$C21*NETWORKDAYS(MAX($D21,BD$16),MIN($E21,BD$17),Libur!$A$2:$A$38)/NETWORKDAYS($D21,$E21,Libur!$A$2:$A$38),0)</f>
        <v>0</v>
      </c>
      <c r="BE21" s="53">
        <f>IF(AND($D21&lt;=BE$17,$E21&gt;=BE$16),$C21*NETWORKDAYS(MAX($D21,BE$16),MIN($E21,BE$17),Libur!$A$2:$A$38)/NETWORKDAYS($D21,$E21,Libur!$A$2:$A$38),0)</f>
        <v>0</v>
      </c>
      <c r="BF21" s="53">
        <f>IF(AND($D21&lt;=BF$17,$E21&gt;=BF$16),$C21*NETWORKDAYS(MAX($D21,BF$16),MIN($E21,BF$17),Libur!$A$2:$A$38)/NETWORKDAYS($D21,$E21,Libur!$A$2:$A$38),0)</f>
        <v>0</v>
      </c>
      <c r="BG21" s="53">
        <f>IF(AND($D21&lt;=BG$17,$E21&gt;=BG$16),$C21*NETWORKDAYS(MAX($D21,BG$16),MIN($E21,BG$17),Libur!$A$2:$A$38)/NETWORKDAYS($D21,$E21,Libur!$A$2:$A$38),0)</f>
        <v>0</v>
      </c>
      <c r="BH21" s="53">
        <f>IF(AND($D21&lt;=BH$17,$E21&gt;=BH$16),$C21*NETWORKDAYS(MAX($D21,BH$16),MIN($E21,BH$17),Libur!$A$2:$A$38)/NETWORKDAYS($D21,$E21,Libur!$A$2:$A$38),0)</f>
        <v>0</v>
      </c>
      <c r="BI21" s="53">
        <f>IF(AND($D21&lt;=BI$17,$E21&gt;=BI$16),$C21*NETWORKDAYS(MAX($D21,BI$16),MIN($E21,BI$17),Libur!$A$2:$A$38)/NETWORKDAYS($D21,$E21,Libur!$A$2:$A$38),0)</f>
        <v>0</v>
      </c>
      <c r="BJ21" s="53">
        <f>IF(AND($D21&lt;=BJ$17,$E21&gt;=BJ$16),$C21*NETWORKDAYS(MAX($D21,BJ$16),MIN($E21,BJ$17),Libur!$A$2:$A$38)/NETWORKDAYS($D21,$E21,Libur!$A$2:$A$38),0)</f>
        <v>0</v>
      </c>
      <c r="BK21" s="53">
        <f>IF(AND($D21&lt;=BK$17,$E21&gt;=BK$16),$C21*NETWORKDAYS(MAX($D21,BK$16),MIN($E21,BK$17),Libur!$A$2:$A$38)/NETWORKDAYS($D21,$E21,Libur!$A$2:$A$38),0)</f>
        <v>0</v>
      </c>
    </row>
    <row r="22" spans="1:63" x14ac:dyDescent="0.25">
      <c r="A22" s="45"/>
      <c r="B22" s="46"/>
      <c r="C22" s="7"/>
      <c r="D22" s="47"/>
      <c r="E22" s="47"/>
      <c r="F22" s="7"/>
      <c r="G22" s="48"/>
      <c r="H22" s="49"/>
      <c r="I22" s="48"/>
      <c r="J22" s="48"/>
      <c r="K22" s="48"/>
      <c r="L22" s="48"/>
      <c r="M22" s="48"/>
      <c r="N22" s="48"/>
      <c r="O22" s="52"/>
      <c r="P22" s="53">
        <f>IF(AND($D22&lt;=P$17,$E22&gt;=P$16),$C22*NETWORKDAYS(MAX($D22,P$16),MIN($E22,P$17),Libur!$A$2:$A$38)/NETWORKDAYS($D22,$E22,Libur!$A$2:$A$38),0)</f>
        <v>0</v>
      </c>
      <c r="Q22" s="53">
        <f>IF(AND($D22&lt;=Q$17,$E22&gt;=Q$16),$C22*NETWORKDAYS(MAX($D22,Q$16),MIN($E22,Q$17),Libur!$A$2:$A$38)/NETWORKDAYS($D22,$E22,Libur!$A$2:$A$38),0)</f>
        <v>0</v>
      </c>
      <c r="R22" s="53">
        <f>IF(AND($D22&lt;=R$17,$E22&gt;=R$16),$C22*NETWORKDAYS(MAX($D22,R$16),MIN($E22,R$17),Libur!$A$2:$A$38)/NETWORKDAYS($D22,$E22,Libur!$A$2:$A$38),0)</f>
        <v>0</v>
      </c>
      <c r="S22" s="53">
        <f>IF(AND($D22&lt;=S$17,$E22&gt;=S$16),$C22*NETWORKDAYS(MAX($D22,S$16),MIN($E22,S$17),Libur!$A$2:$A$38)/NETWORKDAYS($D22,$E22,Libur!$A$2:$A$38),0)</f>
        <v>0</v>
      </c>
      <c r="T22" s="53">
        <f>IF(AND($D22&lt;=T$17,$E22&gt;=T$16),$C22*NETWORKDAYS(MAX($D22,T$16),MIN($E22,T$17),Libur!$A$2:$A$38)/NETWORKDAYS($D22,$E22,Libur!$A$2:$A$38),0)</f>
        <v>0</v>
      </c>
      <c r="U22" s="53">
        <f>IF(AND($D22&lt;=U$17,$E22&gt;=U$16),$C22*NETWORKDAYS(MAX($D22,U$16),MIN($E22,U$17),Libur!$A$2:$A$38)/NETWORKDAYS($D22,$E22,Libur!$A$2:$A$38),0)</f>
        <v>0</v>
      </c>
      <c r="V22" s="53">
        <f>IF(AND($D22&lt;=V$17,$E22&gt;=V$16),$C22*NETWORKDAYS(MAX($D22,V$16),MIN($E22,V$17),Libur!$A$2:$A$38)/NETWORKDAYS($D22,$E22,Libur!$A$2:$A$38),0)</f>
        <v>0</v>
      </c>
      <c r="W22" s="53">
        <f>IF(AND($D22&lt;=W$17,$E22&gt;=W$16),$C22*NETWORKDAYS(MAX($D22,W$16),MIN($E22,W$17),Libur!$A$2:$A$38)/NETWORKDAYS($D22,$E22,Libur!$A$2:$A$38),0)</f>
        <v>0</v>
      </c>
      <c r="X22" s="53">
        <f>IF(AND($D22&lt;=X$17,$E22&gt;=X$16),$C22*NETWORKDAYS(MAX($D22,X$16),MIN($E22,X$17),Libur!$A$2:$A$38)/NETWORKDAYS($D22,$E22,Libur!$A$2:$A$38),0)</f>
        <v>0</v>
      </c>
      <c r="Y22" s="53">
        <f>IF(AND($D22&lt;=Y$17,$E22&gt;=Y$16),$C22*NETWORKDAYS(MAX($D22,Y$16),MIN($E22,Y$17),Libur!$A$2:$A$38)/NETWORKDAYS($D22,$E22,Libur!$A$2:$A$38),0)</f>
        <v>0</v>
      </c>
      <c r="Z22" s="53">
        <f>IF(AND($D22&lt;=Z$17,$E22&gt;=Z$16),$C22*NETWORKDAYS(MAX($D22,Z$16),MIN($E22,Z$17),Libur!$A$2:$A$38)/NETWORKDAYS($D22,$E22,Libur!$A$2:$A$38),0)</f>
        <v>0</v>
      </c>
      <c r="AA22" s="53">
        <f>IF(AND($D22&lt;=AA$17,$E22&gt;=AA$16),$C22*NETWORKDAYS(MAX($D22,AA$16),MIN($E22,AA$17),Libur!$A$2:$A$38)/NETWORKDAYS($D22,$E22,Libur!$A$2:$A$38),0)</f>
        <v>0</v>
      </c>
      <c r="AB22" s="53">
        <f>IF(AND($D22&lt;=AB$17,$E22&gt;=AB$16),$C22*NETWORKDAYS(MAX($D22,AB$16),MIN($E22,AB$17),Libur!$A$2:$A$38)/NETWORKDAYS($D22,$E22,Libur!$A$2:$A$38),0)</f>
        <v>0</v>
      </c>
      <c r="AC22" s="53">
        <f>IF(AND($D22&lt;=AC$17,$E22&gt;=AC$16),$C22*NETWORKDAYS(MAX($D22,AC$16),MIN($E22,AC$17),Libur!$A$2:$A$38)/NETWORKDAYS($D22,$E22,Libur!$A$2:$A$38),0)</f>
        <v>0</v>
      </c>
      <c r="AD22" s="53">
        <f>IF(AND($D22&lt;=AD$17,$E22&gt;=AD$16),$C22*NETWORKDAYS(MAX($D22,AD$16),MIN($E22,AD$17),Libur!$A$2:$A$38)/NETWORKDAYS($D22,$E22,Libur!$A$2:$A$38),0)</f>
        <v>0</v>
      </c>
      <c r="AE22" s="53">
        <f>IF(AND($D22&lt;=AE$17,$E22&gt;=AE$16),$C22*NETWORKDAYS(MAX($D22,AE$16),MIN($E22,AE$17),Libur!$A$2:$A$38)/NETWORKDAYS($D22,$E22,Libur!$A$2:$A$38),0)</f>
        <v>0</v>
      </c>
      <c r="AF22" s="53">
        <f>IF(AND($D22&lt;=AF$17,$E22&gt;=AF$16),$C22*NETWORKDAYS(MAX($D22,AF$16),MIN($E22,AF$17),Libur!$A$2:$A$38)/NETWORKDAYS($D22,$E22,Libur!$A$2:$A$38),0)</f>
        <v>0</v>
      </c>
      <c r="AG22" s="53">
        <f>IF(AND($D22&lt;=AG$17,$E22&gt;=AG$16),$C22*NETWORKDAYS(MAX($D22,AG$16),MIN($E22,AG$17),Libur!$A$2:$A$38)/NETWORKDAYS($D22,$E22,Libur!$A$2:$A$38),0)</f>
        <v>0</v>
      </c>
      <c r="AH22" s="53">
        <f>IF(AND($D22&lt;=AH$17,$E22&gt;=AH$16),$C22*NETWORKDAYS(MAX($D22,AH$16),MIN($E22,AH$17),Libur!$A$2:$A$38)/NETWORKDAYS($D22,$E22,Libur!$A$2:$A$38),0)</f>
        <v>0</v>
      </c>
      <c r="AI22" s="53">
        <f>IF(AND($D22&lt;=AI$17,$E22&gt;=AI$16),$C22*NETWORKDAYS(MAX($D22,AI$16),MIN($E22,AI$17),Libur!$A$2:$A$38)/NETWORKDAYS($D22,$E22,Libur!$A$2:$A$38),0)</f>
        <v>0</v>
      </c>
      <c r="AJ22" s="53">
        <f>IF(AND($D22&lt;=AJ$17,$E22&gt;=AJ$16),$C22*NETWORKDAYS(MAX($D22,AJ$16),MIN($E22,AJ$17),Libur!$A$2:$A$38)/NETWORKDAYS($D22,$E22,Libur!$A$2:$A$38),0)</f>
        <v>0</v>
      </c>
      <c r="AK22" s="53">
        <f>IF(AND($D22&lt;=AK$17,$E22&gt;=AK$16),$C22*NETWORKDAYS(MAX($D22,AK$16),MIN($E22,AK$17),Libur!$A$2:$A$38)/NETWORKDAYS($D22,$E22,Libur!$A$2:$A$38),0)</f>
        <v>0</v>
      </c>
      <c r="AL22" s="53">
        <f>IF(AND($D22&lt;=AL$17,$E22&gt;=AL$16),$C22*NETWORKDAYS(MAX($D22,AL$16),MIN($E22,AL$17),Libur!$A$2:$A$38)/NETWORKDAYS($D22,$E22,Libur!$A$2:$A$38),0)</f>
        <v>0</v>
      </c>
      <c r="AM22" s="53">
        <f>IF(AND($D22&lt;=AM$17,$E22&gt;=AM$16),$C22*NETWORKDAYS(MAX($D22,AM$16),MIN($E22,AM$17),Libur!$A$2:$A$38)/NETWORKDAYS($D22,$E22,Libur!$A$2:$A$38),0)</f>
        <v>0</v>
      </c>
      <c r="AN22" s="53">
        <f>IF(AND($D22&lt;=AN$17,$E22&gt;=AN$16),$C22*NETWORKDAYS(MAX($D22,AN$16),MIN($E22,AN$17),Libur!$A$2:$A$38)/NETWORKDAYS($D22,$E22,Libur!$A$2:$A$38),0)</f>
        <v>0</v>
      </c>
      <c r="AO22" s="53">
        <f>IF(AND($D22&lt;=AO$17,$E22&gt;=AO$16),$C22*NETWORKDAYS(MAX($D22,AO$16),MIN($E22,AO$17),Libur!$A$2:$A$38)/NETWORKDAYS($D22,$E22,Libur!$A$2:$A$38),0)</f>
        <v>0</v>
      </c>
      <c r="AP22" s="53">
        <f>IF(AND($D22&lt;=AP$17,$E22&gt;=AP$16),$C22*NETWORKDAYS(MAX($D22,AP$16),MIN($E22,AP$17),Libur!$A$2:$A$38)/NETWORKDAYS($D22,$E22,Libur!$A$2:$A$38),0)</f>
        <v>0</v>
      </c>
      <c r="AQ22" s="53">
        <f>IF(AND($D22&lt;=AQ$17,$E22&gt;=AQ$16),$C22*NETWORKDAYS(MAX($D22,AQ$16),MIN($E22,AQ$17),Libur!$A$2:$A$38)/NETWORKDAYS($D22,$E22,Libur!$A$2:$A$38),0)</f>
        <v>0</v>
      </c>
      <c r="AR22" s="53">
        <f>IF(AND($D22&lt;=AR$17,$E22&gt;=AR$16),$C22*NETWORKDAYS(MAX($D22,AR$16),MIN($E22,AR$17),Libur!$A$2:$A$38)/NETWORKDAYS($D22,$E22,Libur!$A$2:$A$38),0)</f>
        <v>0</v>
      </c>
      <c r="AS22" s="53">
        <f>IF(AND($D22&lt;=AS$17,$E22&gt;=AS$16),$C22*NETWORKDAYS(MAX($D22,AS$16),MIN($E22,AS$17),Libur!$A$2:$A$38)/NETWORKDAYS($D22,$E22,Libur!$A$2:$A$38),0)</f>
        <v>0</v>
      </c>
      <c r="AT22" s="53">
        <f>IF(AND($D22&lt;=AT$17,$E22&gt;=AT$16),$C22*NETWORKDAYS(MAX($D22,AT$16),MIN($E22,AT$17),Libur!$A$2:$A$38)/NETWORKDAYS($D22,$E22,Libur!$A$2:$A$38),0)</f>
        <v>0</v>
      </c>
      <c r="AU22" s="53">
        <f>IF(AND($D22&lt;=AU$17,$E22&gt;=AU$16),$C22*NETWORKDAYS(MAX($D22,AU$16),MIN($E22,AU$17),Libur!$A$2:$A$38)/NETWORKDAYS($D22,$E22,Libur!$A$2:$A$38),0)</f>
        <v>0</v>
      </c>
      <c r="AV22" s="53">
        <f>IF(AND($D22&lt;=AV$17,$E22&gt;=AV$16),$C22*NETWORKDAYS(MAX($D22,AV$16),MIN($E22,AV$17),Libur!$A$2:$A$38)/NETWORKDAYS($D22,$E22,Libur!$A$2:$A$38),0)</f>
        <v>0</v>
      </c>
      <c r="AW22" s="53">
        <f>IF(AND($D22&lt;=AW$17,$E22&gt;=AW$16),$C22*NETWORKDAYS(MAX($D22,AW$16),MIN($E22,AW$17),Libur!$A$2:$A$38)/NETWORKDAYS($D22,$E22,Libur!$A$2:$A$38),0)</f>
        <v>0</v>
      </c>
      <c r="AX22" s="53">
        <f>IF(AND($D22&lt;=AX$17,$E22&gt;=AX$16),$C22*NETWORKDAYS(MAX($D22,AX$16),MIN($E22,AX$17),Libur!$A$2:$A$38)/NETWORKDAYS($D22,$E22,Libur!$A$2:$A$38),0)</f>
        <v>0</v>
      </c>
      <c r="AY22" s="53">
        <f>IF(AND($D22&lt;=AY$17,$E22&gt;=AY$16),$C22*NETWORKDAYS(MAX($D22,AY$16),MIN($E22,AY$17),Libur!$A$2:$A$38)/NETWORKDAYS($D22,$E22,Libur!$A$2:$A$38),0)</f>
        <v>0</v>
      </c>
      <c r="AZ22" s="53">
        <f>IF(AND($D22&lt;=AZ$17,$E22&gt;=AZ$16),$C22*NETWORKDAYS(MAX($D22,AZ$16),MIN($E22,AZ$17),Libur!$A$2:$A$38)/NETWORKDAYS($D22,$E22,Libur!$A$2:$A$38),0)</f>
        <v>0</v>
      </c>
      <c r="BA22" s="53">
        <f>IF(AND($D22&lt;=BA$17,$E22&gt;=BA$16),$C22*NETWORKDAYS(MAX($D22,BA$16),MIN($E22,BA$17),Libur!$A$2:$A$38)/NETWORKDAYS($D22,$E22,Libur!$A$2:$A$38),0)</f>
        <v>0</v>
      </c>
      <c r="BB22" s="53">
        <f>IF(AND($D22&lt;=BB$17,$E22&gt;=BB$16),$C22*NETWORKDAYS(MAX($D22,BB$16),MIN($E22,BB$17),Libur!$A$2:$A$38)/NETWORKDAYS($D22,$E22,Libur!$A$2:$A$38),0)</f>
        <v>0</v>
      </c>
      <c r="BC22" s="53">
        <f>IF(AND($D22&lt;=BC$17,$E22&gt;=BC$16),$C22*NETWORKDAYS(MAX($D22,BC$16),MIN($E22,BC$17),Libur!$A$2:$A$38)/NETWORKDAYS($D22,$E22,Libur!$A$2:$A$38),0)</f>
        <v>0</v>
      </c>
      <c r="BD22" s="53">
        <f>IF(AND($D22&lt;=BD$17,$E22&gt;=BD$16),$C22*NETWORKDAYS(MAX($D22,BD$16),MIN($E22,BD$17),Libur!$A$2:$A$38)/NETWORKDAYS($D22,$E22,Libur!$A$2:$A$38),0)</f>
        <v>0</v>
      </c>
      <c r="BE22" s="53">
        <f>IF(AND($D22&lt;=BE$17,$E22&gt;=BE$16),$C22*NETWORKDAYS(MAX($D22,BE$16),MIN($E22,BE$17),Libur!$A$2:$A$38)/NETWORKDAYS($D22,$E22,Libur!$A$2:$A$38),0)</f>
        <v>0</v>
      </c>
      <c r="BF22" s="53">
        <f>IF(AND($D22&lt;=BF$17,$E22&gt;=BF$16),$C22*NETWORKDAYS(MAX($D22,BF$16),MIN($E22,BF$17),Libur!$A$2:$A$38)/NETWORKDAYS($D22,$E22,Libur!$A$2:$A$38),0)</f>
        <v>0</v>
      </c>
      <c r="BG22" s="53">
        <f>IF(AND($D22&lt;=BG$17,$E22&gt;=BG$16),$C22*NETWORKDAYS(MAX($D22,BG$16),MIN($E22,BG$17),Libur!$A$2:$A$38)/NETWORKDAYS($D22,$E22,Libur!$A$2:$A$38),0)</f>
        <v>0</v>
      </c>
      <c r="BH22" s="53">
        <f>IF(AND($D22&lt;=BH$17,$E22&gt;=BH$16),$C22*NETWORKDAYS(MAX($D22,BH$16),MIN($E22,BH$17),Libur!$A$2:$A$38)/NETWORKDAYS($D22,$E22,Libur!$A$2:$A$38),0)</f>
        <v>0</v>
      </c>
      <c r="BI22" s="53">
        <f>IF(AND($D22&lt;=BI$17,$E22&gt;=BI$16),$C22*NETWORKDAYS(MAX($D22,BI$16),MIN($E22,BI$17),Libur!$A$2:$A$38)/NETWORKDAYS($D22,$E22,Libur!$A$2:$A$38),0)</f>
        <v>0</v>
      </c>
      <c r="BJ22" s="53">
        <f>IF(AND($D22&lt;=BJ$17,$E22&gt;=BJ$16),$C22*NETWORKDAYS(MAX($D22,BJ$16),MIN($E22,BJ$17),Libur!$A$2:$A$38)/NETWORKDAYS($D22,$E22,Libur!$A$2:$A$38),0)</f>
        <v>0</v>
      </c>
      <c r="BK22" s="53">
        <f>IF(AND($D22&lt;=BK$17,$E22&gt;=BK$16),$C22*NETWORKDAYS(MAX($D22,BK$16),MIN($E22,BK$17),Libur!$A$2:$A$38)/NETWORKDAYS($D22,$E22,Libur!$A$2:$A$38),0)</f>
        <v>0</v>
      </c>
    </row>
    <row r="23" spans="1:63" x14ac:dyDescent="0.25">
      <c r="A23" s="45"/>
      <c r="B23" s="46"/>
      <c r="C23" s="48"/>
      <c r="D23" s="47"/>
      <c r="E23" s="47"/>
      <c r="F23" s="48"/>
      <c r="G23" s="48"/>
      <c r="H23" s="49"/>
      <c r="I23" s="48"/>
      <c r="J23" s="48"/>
      <c r="K23" s="48"/>
      <c r="L23" s="48"/>
      <c r="M23" s="48"/>
      <c r="N23" s="51"/>
      <c r="O23" s="52"/>
      <c r="P23" s="53">
        <f>IF(AND($D23&lt;=P$17,$E23&gt;=P$16),$C23*NETWORKDAYS(MAX($D23,P$16),MIN($E23,P$17),Libur!$A$2:$A$38)/NETWORKDAYS($D23,$E23,Libur!$A$2:$A$38),0)</f>
        <v>0</v>
      </c>
      <c r="Q23" s="53">
        <f>IF(AND($D23&lt;=Q$17,$E23&gt;=Q$16),$C23*NETWORKDAYS(MAX($D23,Q$16),MIN($E23,Q$17),Libur!$A$2:$A$38)/NETWORKDAYS($D23,$E23,Libur!$A$2:$A$38),0)</f>
        <v>0</v>
      </c>
      <c r="R23" s="53">
        <f>IF(AND($D23&lt;=R$17,$E23&gt;=R$16),$C23*NETWORKDAYS(MAX($D23,R$16),MIN($E23,R$17),Libur!$A$2:$A$38)/NETWORKDAYS($D23,$E23,Libur!$A$2:$A$38),0)</f>
        <v>0</v>
      </c>
      <c r="S23" s="53">
        <f>IF(AND($D23&lt;=S$17,$E23&gt;=S$16),$C23*NETWORKDAYS(MAX($D23,S$16),MIN($E23,S$17),Libur!$A$2:$A$38)/NETWORKDAYS($D23,$E23,Libur!$A$2:$A$38),0)</f>
        <v>0</v>
      </c>
      <c r="T23" s="53">
        <f>IF(AND($D23&lt;=T$17,$E23&gt;=T$16),$C23*NETWORKDAYS(MAX($D23,T$16),MIN($E23,T$17),Libur!$A$2:$A$38)/NETWORKDAYS($D23,$E23,Libur!$A$2:$A$38),0)</f>
        <v>0</v>
      </c>
      <c r="U23" s="53">
        <f>IF(AND($D23&lt;=U$17,$E23&gt;=U$16),$C23*NETWORKDAYS(MAX($D23,U$16),MIN($E23,U$17),Libur!$A$2:$A$38)/NETWORKDAYS($D23,$E23,Libur!$A$2:$A$38),0)</f>
        <v>0</v>
      </c>
      <c r="V23" s="53">
        <f>IF(AND($D23&lt;=V$17,$E23&gt;=V$16),$C23*NETWORKDAYS(MAX($D23,V$16),MIN($E23,V$17),Libur!$A$2:$A$38)/NETWORKDAYS($D23,$E23,Libur!$A$2:$A$38),0)</f>
        <v>0</v>
      </c>
      <c r="W23" s="53">
        <f>IF(AND($D23&lt;=W$17,$E23&gt;=W$16),$C23*NETWORKDAYS(MAX($D23,W$16),MIN($E23,W$17),Libur!$A$2:$A$38)/NETWORKDAYS($D23,$E23,Libur!$A$2:$A$38),0)</f>
        <v>0</v>
      </c>
      <c r="X23" s="53">
        <f>IF(AND($D23&lt;=X$17,$E23&gt;=X$16),$C23*NETWORKDAYS(MAX($D23,X$16),MIN($E23,X$17),Libur!$A$2:$A$38)/NETWORKDAYS($D23,$E23,Libur!$A$2:$A$38),0)</f>
        <v>0</v>
      </c>
      <c r="Y23" s="53">
        <f>IF(AND($D23&lt;=Y$17,$E23&gt;=Y$16),$C23*NETWORKDAYS(MAX($D23,Y$16),MIN($E23,Y$17),Libur!$A$2:$A$38)/NETWORKDAYS($D23,$E23,Libur!$A$2:$A$38),0)</f>
        <v>0</v>
      </c>
      <c r="Z23" s="53">
        <f>IF(AND($D23&lt;=Z$17,$E23&gt;=Z$16),$C23*NETWORKDAYS(MAX($D23,Z$16),MIN($E23,Z$17),Libur!$A$2:$A$38)/NETWORKDAYS($D23,$E23,Libur!$A$2:$A$38),0)</f>
        <v>0</v>
      </c>
      <c r="AA23" s="53">
        <f>IF(AND($D23&lt;=AA$17,$E23&gt;=AA$16),$C23*NETWORKDAYS(MAX($D23,AA$16),MIN($E23,AA$17),Libur!$A$2:$A$38)/NETWORKDAYS($D23,$E23,Libur!$A$2:$A$38),0)</f>
        <v>0</v>
      </c>
      <c r="AB23" s="53">
        <f>IF(AND($D23&lt;=AB$17,$E23&gt;=AB$16),$C23*NETWORKDAYS(MAX($D23,AB$16),MIN($E23,AB$17),Libur!$A$2:$A$38)/NETWORKDAYS($D23,$E23,Libur!$A$2:$A$38),0)</f>
        <v>0</v>
      </c>
      <c r="AC23" s="53">
        <f>IF(AND($D23&lt;=AC$17,$E23&gt;=AC$16),$C23*NETWORKDAYS(MAX($D23,AC$16),MIN($E23,AC$17),Libur!$A$2:$A$38)/NETWORKDAYS($D23,$E23,Libur!$A$2:$A$38),0)</f>
        <v>0</v>
      </c>
      <c r="AD23" s="53">
        <f>IF(AND($D23&lt;=AD$17,$E23&gt;=AD$16),$C23*NETWORKDAYS(MAX($D23,AD$16),MIN($E23,AD$17),Libur!$A$2:$A$38)/NETWORKDAYS($D23,$E23,Libur!$A$2:$A$38),0)</f>
        <v>0</v>
      </c>
      <c r="AE23" s="53">
        <f>IF(AND($D23&lt;=AE$17,$E23&gt;=AE$16),$C23*NETWORKDAYS(MAX($D23,AE$16),MIN($E23,AE$17),Libur!$A$2:$A$38)/NETWORKDAYS($D23,$E23,Libur!$A$2:$A$38),0)</f>
        <v>0</v>
      </c>
      <c r="AF23" s="53">
        <f>IF(AND($D23&lt;=AF$17,$E23&gt;=AF$16),$C23*NETWORKDAYS(MAX($D23,AF$16),MIN($E23,AF$17),Libur!$A$2:$A$38)/NETWORKDAYS($D23,$E23,Libur!$A$2:$A$38),0)</f>
        <v>0</v>
      </c>
      <c r="AG23" s="53">
        <f>IF(AND($D23&lt;=AG$17,$E23&gt;=AG$16),$C23*NETWORKDAYS(MAX($D23,AG$16),MIN($E23,AG$17),Libur!$A$2:$A$38)/NETWORKDAYS($D23,$E23,Libur!$A$2:$A$38),0)</f>
        <v>0</v>
      </c>
      <c r="AH23" s="53">
        <f>IF(AND($D23&lt;=AH$17,$E23&gt;=AH$16),$C23*NETWORKDAYS(MAX($D23,AH$16),MIN($E23,AH$17),Libur!$A$2:$A$38)/NETWORKDAYS($D23,$E23,Libur!$A$2:$A$38),0)</f>
        <v>0</v>
      </c>
      <c r="AI23" s="53">
        <f>IF(AND($D23&lt;=AI$17,$E23&gt;=AI$16),$C23*NETWORKDAYS(MAX($D23,AI$16),MIN($E23,AI$17),Libur!$A$2:$A$38)/NETWORKDAYS($D23,$E23,Libur!$A$2:$A$38),0)</f>
        <v>0</v>
      </c>
      <c r="AJ23" s="53">
        <f>IF(AND($D23&lt;=AJ$17,$E23&gt;=AJ$16),$C23*NETWORKDAYS(MAX($D23,AJ$16),MIN($E23,AJ$17),Libur!$A$2:$A$38)/NETWORKDAYS($D23,$E23,Libur!$A$2:$A$38),0)</f>
        <v>0</v>
      </c>
      <c r="AK23" s="53">
        <f>IF(AND($D23&lt;=AK$17,$E23&gt;=AK$16),$C23*NETWORKDAYS(MAX($D23,AK$16),MIN($E23,AK$17),Libur!$A$2:$A$38)/NETWORKDAYS($D23,$E23,Libur!$A$2:$A$38),0)</f>
        <v>0</v>
      </c>
      <c r="AL23" s="53">
        <f>IF(AND($D23&lt;=AL$17,$E23&gt;=AL$16),$C23*NETWORKDAYS(MAX($D23,AL$16),MIN($E23,AL$17),Libur!$A$2:$A$38)/NETWORKDAYS($D23,$E23,Libur!$A$2:$A$38),0)</f>
        <v>0</v>
      </c>
      <c r="AM23" s="53">
        <f>IF(AND($D23&lt;=AM$17,$E23&gt;=AM$16),$C23*NETWORKDAYS(MAX($D23,AM$16),MIN($E23,AM$17),Libur!$A$2:$A$38)/NETWORKDAYS($D23,$E23,Libur!$A$2:$A$38),0)</f>
        <v>0</v>
      </c>
      <c r="AN23" s="53">
        <f>IF(AND($D23&lt;=AN$17,$E23&gt;=AN$16),$C23*NETWORKDAYS(MAX($D23,AN$16),MIN($E23,AN$17),Libur!$A$2:$A$38)/NETWORKDAYS($D23,$E23,Libur!$A$2:$A$38),0)</f>
        <v>0</v>
      </c>
      <c r="AO23" s="53">
        <f>IF(AND($D23&lt;=AO$17,$E23&gt;=AO$16),$C23*NETWORKDAYS(MAX($D23,AO$16),MIN($E23,AO$17),Libur!$A$2:$A$38)/NETWORKDAYS($D23,$E23,Libur!$A$2:$A$38),0)</f>
        <v>0</v>
      </c>
      <c r="AP23" s="53">
        <f>IF(AND($D23&lt;=AP$17,$E23&gt;=AP$16),$C23*NETWORKDAYS(MAX($D23,AP$16),MIN($E23,AP$17),Libur!$A$2:$A$38)/NETWORKDAYS($D23,$E23,Libur!$A$2:$A$38),0)</f>
        <v>0</v>
      </c>
      <c r="AQ23" s="53">
        <f>IF(AND($D23&lt;=AQ$17,$E23&gt;=AQ$16),$C23*NETWORKDAYS(MAX($D23,AQ$16),MIN($E23,AQ$17),Libur!$A$2:$A$38)/NETWORKDAYS($D23,$E23,Libur!$A$2:$A$38),0)</f>
        <v>0</v>
      </c>
      <c r="AR23" s="53">
        <f>IF(AND($D23&lt;=AR$17,$E23&gt;=AR$16),$C23*NETWORKDAYS(MAX($D23,AR$16),MIN($E23,AR$17),Libur!$A$2:$A$38)/NETWORKDAYS($D23,$E23,Libur!$A$2:$A$38),0)</f>
        <v>0</v>
      </c>
      <c r="AS23" s="53">
        <f>IF(AND($D23&lt;=AS$17,$E23&gt;=AS$16),$C23*NETWORKDAYS(MAX($D23,AS$16),MIN($E23,AS$17),Libur!$A$2:$A$38)/NETWORKDAYS($D23,$E23,Libur!$A$2:$A$38),0)</f>
        <v>0</v>
      </c>
      <c r="AT23" s="53">
        <f>IF(AND($D23&lt;=AT$17,$E23&gt;=AT$16),$C23*NETWORKDAYS(MAX($D23,AT$16),MIN($E23,AT$17),Libur!$A$2:$A$38)/NETWORKDAYS($D23,$E23,Libur!$A$2:$A$38),0)</f>
        <v>0</v>
      </c>
      <c r="AU23" s="53">
        <f>IF(AND($D23&lt;=AU$17,$E23&gt;=AU$16),$C23*NETWORKDAYS(MAX($D23,AU$16),MIN($E23,AU$17),Libur!$A$2:$A$38)/NETWORKDAYS($D23,$E23,Libur!$A$2:$A$38),0)</f>
        <v>0</v>
      </c>
      <c r="AV23" s="53">
        <f>IF(AND($D23&lt;=AV$17,$E23&gt;=AV$16),$C23*NETWORKDAYS(MAX($D23,AV$16),MIN($E23,AV$17),Libur!$A$2:$A$38)/NETWORKDAYS($D23,$E23,Libur!$A$2:$A$38),0)</f>
        <v>0</v>
      </c>
      <c r="AW23" s="53">
        <f>IF(AND($D23&lt;=AW$17,$E23&gt;=AW$16),$C23*NETWORKDAYS(MAX($D23,AW$16),MIN($E23,AW$17),Libur!$A$2:$A$38)/NETWORKDAYS($D23,$E23,Libur!$A$2:$A$38),0)</f>
        <v>0</v>
      </c>
      <c r="AX23" s="53">
        <f>IF(AND($D23&lt;=AX$17,$E23&gt;=AX$16),$C23*NETWORKDAYS(MAX($D23,AX$16),MIN($E23,AX$17),Libur!$A$2:$A$38)/NETWORKDAYS($D23,$E23,Libur!$A$2:$A$38),0)</f>
        <v>0</v>
      </c>
      <c r="AY23" s="53">
        <f>IF(AND($D23&lt;=AY$17,$E23&gt;=AY$16),$C23*NETWORKDAYS(MAX($D23,AY$16),MIN($E23,AY$17),Libur!$A$2:$A$38)/NETWORKDAYS($D23,$E23,Libur!$A$2:$A$38),0)</f>
        <v>0</v>
      </c>
      <c r="AZ23" s="53">
        <f>IF(AND($D23&lt;=AZ$17,$E23&gt;=AZ$16),$C23*NETWORKDAYS(MAX($D23,AZ$16),MIN($E23,AZ$17),Libur!$A$2:$A$38)/NETWORKDAYS($D23,$E23,Libur!$A$2:$A$38),0)</f>
        <v>0</v>
      </c>
      <c r="BA23" s="53">
        <f>IF(AND($D23&lt;=BA$17,$E23&gt;=BA$16),$C23*NETWORKDAYS(MAX($D23,BA$16),MIN($E23,BA$17),Libur!$A$2:$A$38)/NETWORKDAYS($D23,$E23,Libur!$A$2:$A$38),0)</f>
        <v>0</v>
      </c>
      <c r="BB23" s="53">
        <f>IF(AND($D23&lt;=BB$17,$E23&gt;=BB$16),$C23*NETWORKDAYS(MAX($D23,BB$16),MIN($E23,BB$17),Libur!$A$2:$A$38)/NETWORKDAYS($D23,$E23,Libur!$A$2:$A$38),0)</f>
        <v>0</v>
      </c>
      <c r="BC23" s="53">
        <f>IF(AND($D23&lt;=BC$17,$E23&gt;=BC$16),$C23*NETWORKDAYS(MAX($D23,BC$16),MIN($E23,BC$17),Libur!$A$2:$A$38)/NETWORKDAYS($D23,$E23,Libur!$A$2:$A$38),0)</f>
        <v>0</v>
      </c>
      <c r="BD23" s="53">
        <f>IF(AND($D23&lt;=BD$17,$E23&gt;=BD$16),$C23*NETWORKDAYS(MAX($D23,BD$16),MIN($E23,BD$17),Libur!$A$2:$A$38)/NETWORKDAYS($D23,$E23,Libur!$A$2:$A$38),0)</f>
        <v>0</v>
      </c>
      <c r="BE23" s="53">
        <f>IF(AND($D23&lt;=BE$17,$E23&gt;=BE$16),$C23*NETWORKDAYS(MAX($D23,BE$16),MIN($E23,BE$17),Libur!$A$2:$A$38)/NETWORKDAYS($D23,$E23,Libur!$A$2:$A$38),0)</f>
        <v>0</v>
      </c>
      <c r="BF23" s="53">
        <f>IF(AND($D23&lt;=BF$17,$E23&gt;=BF$16),$C23*NETWORKDAYS(MAX($D23,BF$16),MIN($E23,BF$17),Libur!$A$2:$A$38)/NETWORKDAYS($D23,$E23,Libur!$A$2:$A$38),0)</f>
        <v>0</v>
      </c>
      <c r="BG23" s="53">
        <f>IF(AND($D23&lt;=BG$17,$E23&gt;=BG$16),$C23*NETWORKDAYS(MAX($D23,BG$16),MIN($E23,BG$17),Libur!$A$2:$A$38)/NETWORKDAYS($D23,$E23,Libur!$A$2:$A$38),0)</f>
        <v>0</v>
      </c>
      <c r="BH23" s="53">
        <f>IF(AND($D23&lt;=BH$17,$E23&gt;=BH$16),$C23*NETWORKDAYS(MAX($D23,BH$16),MIN($E23,BH$17),Libur!$A$2:$A$38)/NETWORKDAYS($D23,$E23,Libur!$A$2:$A$38),0)</f>
        <v>0</v>
      </c>
      <c r="BI23" s="53">
        <f>IF(AND($D23&lt;=BI$17,$E23&gt;=BI$16),$C23*NETWORKDAYS(MAX($D23,BI$16),MIN($E23,BI$17),Libur!$A$2:$A$38)/NETWORKDAYS($D23,$E23,Libur!$A$2:$A$38),0)</f>
        <v>0</v>
      </c>
      <c r="BJ23" s="53">
        <f>IF(AND($D23&lt;=BJ$17,$E23&gt;=BJ$16),$C23*NETWORKDAYS(MAX($D23,BJ$16),MIN($E23,BJ$17),Libur!$A$2:$A$38)/NETWORKDAYS($D23,$E23,Libur!$A$2:$A$38),0)</f>
        <v>0</v>
      </c>
      <c r="BK23" s="53">
        <f>IF(AND($D23&lt;=BK$17,$E23&gt;=BK$16),$C23*NETWORKDAYS(MAX($D23,BK$16),MIN($E23,BK$17),Libur!$A$2:$A$38)/NETWORKDAYS($D23,$E23,Libur!$A$2:$A$38),0)</f>
        <v>0</v>
      </c>
    </row>
    <row r="24" spans="1:63" x14ac:dyDescent="0.25">
      <c r="A24" s="36" t="s">
        <v>75</v>
      </c>
      <c r="B24" s="9" t="s">
        <v>76</v>
      </c>
      <c r="C24" s="37">
        <f>SUM(C25:C26)</f>
        <v>0.04</v>
      </c>
      <c r="D24" s="38">
        <v>46151</v>
      </c>
      <c r="E24" s="38">
        <v>46161</v>
      </c>
      <c r="F24" s="7"/>
      <c r="G24" s="54"/>
      <c r="H24" s="40">
        <f>NETWORKDAYS(D24,E24,Libur!$A$2:$A$56)</f>
        <v>5</v>
      </c>
      <c r="I24" s="54">
        <f>IF($C$8&gt;E24,100/100,IF($C$8&lt;=D24,0,(NETWORKDAYS(D24,$C$8)/NETWORKDAYS(D24,E24))))</f>
        <v>0</v>
      </c>
      <c r="J24" s="54">
        <f>SUM(J28:J28,J32)</f>
        <v>0</v>
      </c>
      <c r="K24" s="54">
        <f>SUM(K28:K28,K32)</f>
        <v>0</v>
      </c>
      <c r="L24" s="54">
        <f>SUM(L28:L28,L32)</f>
        <v>0</v>
      </c>
      <c r="M24" s="54">
        <f>SUM(M28:M28,M32)</f>
        <v>0</v>
      </c>
      <c r="N24" s="54"/>
      <c r="O24" s="52"/>
      <c r="P24" s="53"/>
      <c r="Q24" s="53"/>
      <c r="R24" s="53">
        <f>IF(AND($D24&lt;=R$17,$E24&gt;=R$16),$C24*NETWORKDAYS(MAX($D24,R$16),MIN($E24,R$17),Libur!$A$2:$A$38)/NETWORKDAYS($D24,$E24,Libur!$A$2:$A$38),0)</f>
        <v>1.1428571428571429E-2</v>
      </c>
      <c r="S24" s="53">
        <f>IF(AND($D24&lt;=S$17,$E24&gt;=S$16),$C24*NETWORKDAYS(MAX($D24,S$16),MIN($E24,S$17),Libur!$A$2:$A$38)/NETWORKDAYS($D24,$E24,Libur!$A$2:$A$38),0)</f>
        <v>0</v>
      </c>
      <c r="T24" s="53">
        <f>IF(AND($D24&lt;=T$17,$E24&gt;=T$16),$C24*NETWORKDAYS(MAX($D24,T$16),MIN($E24,T$17),Libur!$A$2:$A$38)/NETWORKDAYS($D24,$E24,Libur!$A$2:$A$38),0)</f>
        <v>0</v>
      </c>
      <c r="U24" s="53">
        <f>IF(AND($D24&lt;=U$17,$E24&gt;=U$16),$C24*NETWORKDAYS(MAX($D24,U$16),MIN($E24,U$17),Libur!$A$2:$A$38)/NETWORKDAYS($D24,$E24,Libur!$A$2:$A$38),0)</f>
        <v>0</v>
      </c>
      <c r="V24" s="53">
        <f>IF(AND($D24&lt;=V$17,$E24&gt;=V$16),$C24*NETWORKDAYS(MAX($D24,V$16),MIN($E24,V$17),Libur!$A$2:$A$38)/NETWORKDAYS($D24,$E24,Libur!$A$2:$A$38),0)</f>
        <v>0</v>
      </c>
      <c r="W24" s="53">
        <f>IF(AND($D24&lt;=W$17,$E24&gt;=W$16),$C24*NETWORKDAYS(MAX($D24,W$16),MIN($E24,W$17),Libur!$A$2:$A$38)/NETWORKDAYS($D24,$E24,Libur!$A$2:$A$38),0)</f>
        <v>0</v>
      </c>
      <c r="X24" s="53">
        <f>IF(AND($D24&lt;=X$17,$E24&gt;=X$16),$C24*NETWORKDAYS(MAX($D24,X$16),MIN($E24,X$17),Libur!$A$2:$A$38)/NETWORKDAYS($D24,$E24,Libur!$A$2:$A$38),0)</f>
        <v>0</v>
      </c>
      <c r="Y24" s="53">
        <f>IF(AND($D24&lt;=Y$17,$E24&gt;=Y$16),$C24*NETWORKDAYS(MAX($D24,Y$16),MIN($E24,Y$17),Libur!$A$2:$A$38)/NETWORKDAYS($D24,$E24,Libur!$A$2:$A$38),0)</f>
        <v>0</v>
      </c>
      <c r="Z24" s="53">
        <f>IF(AND($D24&lt;=Z$17,$E24&gt;=Z$16),$C24*NETWORKDAYS(MAX($D24,Z$16),MIN($E24,Z$17),Libur!$A$2:$A$38)/NETWORKDAYS($D24,$E24,Libur!$A$2:$A$38),0)</f>
        <v>0</v>
      </c>
      <c r="AA24" s="53">
        <f>IF(AND($D24&lt;=AA$17,$E24&gt;=AA$16),$C24*NETWORKDAYS(MAX($D24,AA$16),MIN($E24,AA$17),Libur!$A$2:$A$38)/NETWORKDAYS($D24,$E24,Libur!$A$2:$A$38),0)</f>
        <v>0</v>
      </c>
      <c r="AB24" s="53">
        <f>IF(AND($D24&lt;=AB$17,$E24&gt;=AB$16),$C24*NETWORKDAYS(MAX($D24,AB$16),MIN($E24,AB$17),Libur!$A$2:$A$38)/NETWORKDAYS($D24,$E24,Libur!$A$2:$A$38),0)</f>
        <v>0</v>
      </c>
      <c r="AC24" s="53">
        <f>IF(AND($D24&lt;=AC$17,$E24&gt;=AC$16),$C24*NETWORKDAYS(MAX($D24,AC$16),MIN($E24,AC$17),Libur!$A$2:$A$38)/NETWORKDAYS($D24,$E24,Libur!$A$2:$A$38),0)</f>
        <v>0</v>
      </c>
      <c r="AD24" s="53">
        <f>IF(AND($D24&lt;=AD$17,$E24&gt;=AD$16),$C24*NETWORKDAYS(MAX($D24,AD$16),MIN($E24,AD$17),Libur!$A$2:$A$38)/NETWORKDAYS($D24,$E24,Libur!$A$2:$A$38),0)</f>
        <v>0</v>
      </c>
      <c r="AE24" s="53">
        <f>IF(AND($D24&lt;=AE$17,$E24&gt;=AE$16),$C24*NETWORKDAYS(MAX($D24,AE$16),MIN($E24,AE$17),Libur!$A$2:$A$38)/NETWORKDAYS($D24,$E24,Libur!$A$2:$A$38),0)</f>
        <v>0</v>
      </c>
      <c r="AF24" s="53">
        <f>IF(AND($D24&lt;=AF$17,$E24&gt;=AF$16),$C24*NETWORKDAYS(MAX($D24,AF$16),MIN($E24,AF$17),Libur!$A$2:$A$38)/NETWORKDAYS($D24,$E24,Libur!$A$2:$A$38),0)</f>
        <v>0</v>
      </c>
      <c r="AG24" s="53">
        <f>IF(AND($D24&lt;=AG$17,$E24&gt;=AG$16),$C24*NETWORKDAYS(MAX($D24,AG$16),MIN($E24,AG$17),Libur!$A$2:$A$38)/NETWORKDAYS($D24,$E24,Libur!$A$2:$A$38),0)</f>
        <v>0</v>
      </c>
      <c r="AH24" s="53">
        <f>IF(AND($D24&lt;=AH$17,$E24&gt;=AH$16),$C24*NETWORKDAYS(MAX($D24,AH$16),MIN($E24,AH$17),Libur!$A$2:$A$38)/NETWORKDAYS($D24,$E24,Libur!$A$2:$A$38),0)</f>
        <v>0</v>
      </c>
      <c r="AI24" s="53">
        <f>IF(AND($D24&lt;=AI$17,$E24&gt;=AI$16),$C24*NETWORKDAYS(MAX($D24,AI$16),MIN($E24,AI$17),Libur!$A$2:$A$38)/NETWORKDAYS($D24,$E24,Libur!$A$2:$A$38),0)</f>
        <v>0</v>
      </c>
      <c r="AJ24" s="53">
        <f>IF(AND($D24&lt;=AJ$17,$E24&gt;=AJ$16),$C24*NETWORKDAYS(MAX($D24,AJ$16),MIN($E24,AJ$17),Libur!$A$2:$A$38)/NETWORKDAYS($D24,$E24,Libur!$A$2:$A$38),0)</f>
        <v>0</v>
      </c>
      <c r="AK24" s="53">
        <f>IF(AND($D24&lt;=AK$17,$E24&gt;=AK$16),$C24*NETWORKDAYS(MAX($D24,AK$16),MIN($E24,AK$17),Libur!$A$2:$A$38)/NETWORKDAYS($D24,$E24,Libur!$A$2:$A$38),0)</f>
        <v>0</v>
      </c>
      <c r="AL24" s="53">
        <f>IF(AND($D24&lt;=AL$17,$E24&gt;=AL$16),$C24*NETWORKDAYS(MAX($D24,AL$16),MIN($E24,AL$17),Libur!$A$2:$A$38)/NETWORKDAYS($D24,$E24,Libur!$A$2:$A$38),0)</f>
        <v>0</v>
      </c>
      <c r="AM24" s="53">
        <f>IF(AND($D24&lt;=AM$17,$E24&gt;=AM$16),$C24*NETWORKDAYS(MAX($D24,AM$16),MIN($E24,AM$17),Libur!$A$2:$A$38)/NETWORKDAYS($D24,$E24,Libur!$A$2:$A$38),0)</f>
        <v>0</v>
      </c>
      <c r="AN24" s="53">
        <f>IF(AND($D24&lt;=AN$17,$E24&gt;=AN$16),$C24*NETWORKDAYS(MAX($D24,AN$16),MIN($E24,AN$17),Libur!$A$2:$A$38)/NETWORKDAYS($D24,$E24,Libur!$A$2:$A$38),0)</f>
        <v>0</v>
      </c>
      <c r="AO24" s="53">
        <f>IF(AND($D24&lt;=AO$17,$E24&gt;=AO$16),$C24*NETWORKDAYS(MAX($D24,AO$16),MIN($E24,AO$17),Libur!$A$2:$A$38)/NETWORKDAYS($D24,$E24,Libur!$A$2:$A$38),0)</f>
        <v>0</v>
      </c>
      <c r="AP24" s="53">
        <f>IF(AND($D24&lt;=AP$17,$E24&gt;=AP$16),$C24*NETWORKDAYS(MAX($D24,AP$16),MIN($E24,AP$17),Libur!$A$2:$A$38)/NETWORKDAYS($D24,$E24,Libur!$A$2:$A$38),0)</f>
        <v>0</v>
      </c>
      <c r="AQ24" s="53">
        <f>IF(AND($D24&lt;=AQ$17,$E24&gt;=AQ$16),$C24*NETWORKDAYS(MAX($D24,AQ$16),MIN($E24,AQ$17),Libur!$A$2:$A$38)/NETWORKDAYS($D24,$E24,Libur!$A$2:$A$38),0)</f>
        <v>0</v>
      </c>
      <c r="AR24" s="53">
        <f>IF(AND($D24&lt;=AR$17,$E24&gt;=AR$16),$C24*NETWORKDAYS(MAX($D24,AR$16),MIN($E24,AR$17),Libur!$A$2:$A$38)/NETWORKDAYS($D24,$E24,Libur!$A$2:$A$38),0)</f>
        <v>0</v>
      </c>
      <c r="AS24" s="53">
        <f>IF(AND($D24&lt;=AS$17,$E24&gt;=AS$16),$C24*NETWORKDAYS(MAX($D24,AS$16),MIN($E24,AS$17),Libur!$A$2:$A$38)/NETWORKDAYS($D24,$E24,Libur!$A$2:$A$38),0)</f>
        <v>0</v>
      </c>
      <c r="AT24" s="53">
        <f>IF(AND($D24&lt;=AT$17,$E24&gt;=AT$16),$C24*NETWORKDAYS(MAX($D24,AT$16),MIN($E24,AT$17),Libur!$A$2:$A$38)/NETWORKDAYS($D24,$E24,Libur!$A$2:$A$38),0)</f>
        <v>0</v>
      </c>
      <c r="AU24" s="53">
        <f>IF(AND($D24&lt;=AU$17,$E24&gt;=AU$16),$C24*NETWORKDAYS(MAX($D24,AU$16),MIN($E24,AU$17),Libur!$A$2:$A$38)/NETWORKDAYS($D24,$E24,Libur!$A$2:$A$38),0)</f>
        <v>0</v>
      </c>
      <c r="AV24" s="53">
        <f>IF(AND($D24&lt;=AV$17,$E24&gt;=AV$16),$C24*NETWORKDAYS(MAX($D24,AV$16),MIN($E24,AV$17),Libur!$A$2:$A$38)/NETWORKDAYS($D24,$E24,Libur!$A$2:$A$38),0)</f>
        <v>0</v>
      </c>
      <c r="AW24" s="53">
        <f>IF(AND($D24&lt;=AW$17,$E24&gt;=AW$16),$C24*NETWORKDAYS(MAX($D24,AW$16),MIN($E24,AW$17),Libur!$A$2:$A$38)/NETWORKDAYS($D24,$E24,Libur!$A$2:$A$38),0)</f>
        <v>0</v>
      </c>
      <c r="AX24" s="53">
        <f>IF(AND($D24&lt;=AX$17,$E24&gt;=AX$16),$C24*NETWORKDAYS(MAX($D24,AX$16),MIN($E24,AX$17),Libur!$A$2:$A$38)/NETWORKDAYS($D24,$E24,Libur!$A$2:$A$38),0)</f>
        <v>0</v>
      </c>
      <c r="AY24" s="53">
        <f>IF(AND($D24&lt;=AY$17,$E24&gt;=AY$16),$C24*NETWORKDAYS(MAX($D24,AY$16),MIN($E24,AY$17),Libur!$A$2:$A$38)/NETWORKDAYS($D24,$E24,Libur!$A$2:$A$38),0)</f>
        <v>0</v>
      </c>
      <c r="AZ24" s="53">
        <f>IF(AND($D24&lt;=AZ$17,$E24&gt;=AZ$16),$C24*NETWORKDAYS(MAX($D24,AZ$16),MIN($E24,AZ$17),Libur!$A$2:$A$38)/NETWORKDAYS($D24,$E24,Libur!$A$2:$A$38),0)</f>
        <v>0</v>
      </c>
      <c r="BA24" s="53">
        <f>IF(AND($D24&lt;=BA$17,$E24&gt;=BA$16),$C24*NETWORKDAYS(MAX($D24,BA$16),MIN($E24,BA$17),Libur!$A$2:$A$38)/NETWORKDAYS($D24,$E24,Libur!$A$2:$A$38),0)</f>
        <v>0</v>
      </c>
      <c r="BB24" s="53">
        <f>IF(AND($D24&lt;=BB$17,$E24&gt;=BB$16),$C24*NETWORKDAYS(MAX($D24,BB$16),MIN($E24,BB$17),Libur!$A$2:$A$38)/NETWORKDAYS($D24,$E24,Libur!$A$2:$A$38),0)</f>
        <v>0</v>
      </c>
      <c r="BC24" s="53">
        <f>IF(AND($D24&lt;=BC$17,$E24&gt;=BC$16),$C24*NETWORKDAYS(MAX($D24,BC$16),MIN($E24,BC$17),Libur!$A$2:$A$38)/NETWORKDAYS($D24,$E24,Libur!$A$2:$A$38),0)</f>
        <v>0</v>
      </c>
      <c r="BD24" s="53">
        <f>IF(AND($D24&lt;=BD$17,$E24&gt;=BD$16),$C24*NETWORKDAYS(MAX($D24,BD$16),MIN($E24,BD$17),Libur!$A$2:$A$38)/NETWORKDAYS($D24,$E24,Libur!$A$2:$A$38),0)</f>
        <v>0</v>
      </c>
      <c r="BE24" s="53">
        <f>IF(AND($D24&lt;=BE$17,$E24&gt;=BE$16),$C24*NETWORKDAYS(MAX($D24,BE$16),MIN($E24,BE$17),Libur!$A$2:$A$38)/NETWORKDAYS($D24,$E24,Libur!$A$2:$A$38),0)</f>
        <v>0</v>
      </c>
      <c r="BF24" s="53">
        <f>IF(AND($D24&lt;=BF$17,$E24&gt;=BF$16),$C24*NETWORKDAYS(MAX($D24,BF$16),MIN($E24,BF$17),Libur!$A$2:$A$38)/NETWORKDAYS($D24,$E24,Libur!$A$2:$A$38),0)</f>
        <v>0</v>
      </c>
      <c r="BG24" s="53">
        <f>IF(AND($D24&lt;=BG$17,$E24&gt;=BG$16),$C24*NETWORKDAYS(MAX($D24,BG$16),MIN($E24,BG$17),Libur!$A$2:$A$38)/NETWORKDAYS($D24,$E24,Libur!$A$2:$A$38),0)</f>
        <v>0</v>
      </c>
      <c r="BH24" s="53">
        <f>IF(AND($D24&lt;=BH$17,$E24&gt;=BH$16),$C24*NETWORKDAYS(MAX($D24,BH$16),MIN($E24,BH$17),Libur!$A$2:$A$38)/NETWORKDAYS($D24,$E24,Libur!$A$2:$A$38),0)</f>
        <v>0</v>
      </c>
      <c r="BI24" s="53">
        <f>IF(AND($D24&lt;=BI$17,$E24&gt;=BI$16),$C24*NETWORKDAYS(MAX($D24,BI$16),MIN($E24,BI$17),Libur!$A$2:$A$38)/NETWORKDAYS($D24,$E24,Libur!$A$2:$A$38),0)</f>
        <v>0</v>
      </c>
      <c r="BJ24" s="53">
        <f>IF(AND($D24&lt;=BJ$17,$E24&gt;=BJ$16),$C24*NETWORKDAYS(MAX($D24,BJ$16),MIN($E24,BJ$17),Libur!$A$2:$A$38)/NETWORKDAYS($D24,$E24,Libur!$A$2:$A$38),0)</f>
        <v>0</v>
      </c>
      <c r="BK24" s="53">
        <f>IF(AND($D24&lt;=BK$17,$E24&gt;=BK$16),$C24*NETWORKDAYS(MAX($D24,BK$16),MIN($E24,BK$17),Libur!$A$2:$A$38)/NETWORKDAYS($D24,$E24,Libur!$A$2:$A$38),0)</f>
        <v>0</v>
      </c>
    </row>
    <row r="25" spans="1:63" x14ac:dyDescent="0.25">
      <c r="A25" s="45"/>
      <c r="B25" s="55" t="s">
        <v>77</v>
      </c>
      <c r="C25" s="48">
        <v>0.02</v>
      </c>
      <c r="D25" s="47">
        <v>46151</v>
      </c>
      <c r="E25" s="47">
        <v>46155</v>
      </c>
      <c r="F25" s="7">
        <f>C25</f>
        <v>0.02</v>
      </c>
      <c r="G25" s="48">
        <f>SUM(P25:AZ25)</f>
        <v>0.02</v>
      </c>
      <c r="H25" s="49">
        <f>NETWORKDAYS(D25,E25,Libur!$A$2:$A$56)</f>
        <v>3</v>
      </c>
      <c r="I25" s="48">
        <f>IF($C$8&gt;E25,100/100,IF($C$8&lt;=D25,0,(NETWORKDAYS(D25,$C$8)/NETWORKDAYS(D25,E25))))</f>
        <v>0</v>
      </c>
      <c r="J25" s="48">
        <f>I25*F25</f>
        <v>0</v>
      </c>
      <c r="K25" s="48">
        <v>0</v>
      </c>
      <c r="L25" s="48">
        <f>C25*K25</f>
        <v>0</v>
      </c>
      <c r="M25" s="122">
        <f>L25-J25</f>
        <v>0</v>
      </c>
      <c r="N25" s="51">
        <f>C25</f>
        <v>0.02</v>
      </c>
      <c r="O25" s="52">
        <f>SUM(P25:BK25)</f>
        <v>0.02</v>
      </c>
      <c r="P25" s="53">
        <f>IF(AND($D25&lt;=P$17,$E25&gt;=P$16),$C25*NETWORKDAYS(MAX($D25,P$16),MIN($E25,P$17),Libur!$A$2:$A$38)/NETWORKDAYS($D25,$E25,Libur!$A$2:$A$38),0)</f>
        <v>0</v>
      </c>
      <c r="Q25" s="53">
        <f>IF(AND($D25&lt;=Q$17,$E25&gt;=Q$16),$C25*NETWORKDAYS(MAX($D25,Q$16),MIN($E25,Q$17),Libur!$A$2:$A$38)/NETWORKDAYS($D25,$E25,Libur!$A$2:$A$38),0)</f>
        <v>0.02</v>
      </c>
      <c r="R25" s="53">
        <f>IF(AND($D25&lt;=R$17,$E25&gt;=R$16),$C25*NETWORKDAYS(MAX($D25,R$16),MIN($E25,R$17),Libur!$A$2:$A$38)/NETWORKDAYS($D25,$E25,Libur!$A$2:$A$38),0)</f>
        <v>0</v>
      </c>
      <c r="S25" s="53">
        <f>IF(AND($D25&lt;=S$17,$E25&gt;=S$16),$C25*NETWORKDAYS(MAX($D25,S$16),MIN($E25,S$17),Libur!$A$2:$A$38)/NETWORKDAYS($D25,$E25,Libur!$A$2:$A$38),0)</f>
        <v>0</v>
      </c>
      <c r="T25" s="53">
        <f>IF(AND($D25&lt;=T$17,$E25&gt;=T$16),$C25*NETWORKDAYS(MAX($D25,T$16),MIN($E25,T$17),Libur!$A$2:$A$38)/NETWORKDAYS($D25,$E25,Libur!$A$2:$A$38),0)</f>
        <v>0</v>
      </c>
      <c r="U25" s="53">
        <f>IF(AND($D25&lt;=U$17,$E25&gt;=U$16),$C25*NETWORKDAYS(MAX($D25,U$16),MIN($E25,U$17),Libur!$A$2:$A$38)/NETWORKDAYS($D25,$E25,Libur!$A$2:$A$38),0)</f>
        <v>0</v>
      </c>
      <c r="V25" s="53">
        <f>IF(AND($D25&lt;=V$17,$E25&gt;=V$16),$C25*NETWORKDAYS(MAX($D25,V$16),MIN($E25,V$17),Libur!$A$2:$A$38)/NETWORKDAYS($D25,$E25,Libur!$A$2:$A$38),0)</f>
        <v>0</v>
      </c>
      <c r="W25" s="53">
        <f>IF(AND($D25&lt;=W$17,$E25&gt;=W$16),$C25*NETWORKDAYS(MAX($D25,W$16),MIN($E25,W$17),Libur!$A$2:$A$38)/NETWORKDAYS($D25,$E25,Libur!$A$2:$A$38),0)</f>
        <v>0</v>
      </c>
      <c r="X25" s="53">
        <f>IF(AND($D25&lt;=X$17,$E25&gt;=X$16),$C25*NETWORKDAYS(MAX($D25,X$16),MIN($E25,X$17),Libur!$A$2:$A$38)/NETWORKDAYS($D25,$E25,Libur!$A$2:$A$38),0)</f>
        <v>0</v>
      </c>
      <c r="Y25" s="53">
        <f>IF(AND($D25&lt;=Y$17,$E25&gt;=Y$16),$C25*NETWORKDAYS(MAX($D25,Y$16),MIN($E25,Y$17),Libur!$A$2:$A$38)/NETWORKDAYS($D25,$E25,Libur!$A$2:$A$38),0)</f>
        <v>0</v>
      </c>
      <c r="Z25" s="53">
        <f>IF(AND($D25&lt;=Z$17,$E25&gt;=Z$16),$C25*NETWORKDAYS(MAX($D25,Z$16),MIN($E25,Z$17),Libur!$A$2:$A$38)/NETWORKDAYS($D25,$E25,Libur!$A$2:$A$38),0)</f>
        <v>0</v>
      </c>
      <c r="AA25" s="53">
        <f>IF(AND($D25&lt;=AA$17,$E25&gt;=AA$16),$C25*NETWORKDAYS(MAX($D25,AA$16),MIN($E25,AA$17),Libur!$A$2:$A$38)/NETWORKDAYS($D25,$E25,Libur!$A$2:$A$38),0)</f>
        <v>0</v>
      </c>
      <c r="AB25" s="53">
        <f>IF(AND($D25&lt;=AB$17,$E25&gt;=AB$16),$C25*NETWORKDAYS(MAX($D25,AB$16),MIN($E25,AB$17),Libur!$A$2:$A$38)/NETWORKDAYS($D25,$E25,Libur!$A$2:$A$38),0)</f>
        <v>0</v>
      </c>
      <c r="AC25" s="53">
        <f>IF(AND($D25&lt;=AC$17,$E25&gt;=AC$16),$C25*NETWORKDAYS(MAX($D25,AC$16),MIN($E25,AC$17),Libur!$A$2:$A$38)/NETWORKDAYS($D25,$E25,Libur!$A$2:$A$38),0)</f>
        <v>0</v>
      </c>
      <c r="AD25" s="53">
        <f>IF(AND($D25&lt;=AD$17,$E25&gt;=AD$16),$C25*NETWORKDAYS(MAX($D25,AD$16),MIN($E25,AD$17),Libur!$A$2:$A$38)/NETWORKDAYS($D25,$E25,Libur!$A$2:$A$38),0)</f>
        <v>0</v>
      </c>
      <c r="AE25" s="53">
        <f>IF(AND($D25&lt;=AE$17,$E25&gt;=AE$16),$C25*NETWORKDAYS(MAX($D25,AE$16),MIN($E25,AE$17),Libur!$A$2:$A$38)/NETWORKDAYS($D25,$E25,Libur!$A$2:$A$38),0)</f>
        <v>0</v>
      </c>
      <c r="AF25" s="53">
        <f>IF(AND($D25&lt;=AF$17,$E25&gt;=AF$16),$C25*NETWORKDAYS(MAX($D25,AF$16),MIN($E25,AF$17),Libur!$A$2:$A$38)/NETWORKDAYS($D25,$E25,Libur!$A$2:$A$38),0)</f>
        <v>0</v>
      </c>
      <c r="AG25" s="53">
        <f>IF(AND($D25&lt;=AG$17,$E25&gt;=AG$16),$C25*NETWORKDAYS(MAX($D25,AG$16),MIN($E25,AG$17),Libur!$A$2:$A$38)/NETWORKDAYS($D25,$E25,Libur!$A$2:$A$38),0)</f>
        <v>0</v>
      </c>
      <c r="AH25" s="53">
        <f>IF(AND($D25&lt;=AH$17,$E25&gt;=AH$16),$C25*NETWORKDAYS(MAX($D25,AH$16),MIN($E25,AH$17),Libur!$A$2:$A$38)/NETWORKDAYS($D25,$E25,Libur!$A$2:$A$38),0)</f>
        <v>0</v>
      </c>
      <c r="AI25" s="53">
        <f>IF(AND($D25&lt;=AI$17,$E25&gt;=AI$16),$C25*NETWORKDAYS(MAX($D25,AI$16),MIN($E25,AI$17),Libur!$A$2:$A$38)/NETWORKDAYS($D25,$E25,Libur!$A$2:$A$38),0)</f>
        <v>0</v>
      </c>
      <c r="AJ25" s="53">
        <f>IF(AND($D25&lt;=AJ$17,$E25&gt;=AJ$16),$C25*NETWORKDAYS(MAX($D25,AJ$16),MIN($E25,AJ$17),Libur!$A$2:$A$38)/NETWORKDAYS($D25,$E25,Libur!$A$2:$A$38),0)</f>
        <v>0</v>
      </c>
      <c r="AK25" s="53">
        <f>IF(AND($D25&lt;=AK$17,$E25&gt;=AK$16),$C25*NETWORKDAYS(MAX($D25,AK$16),MIN($E25,AK$17),Libur!$A$2:$A$38)/NETWORKDAYS($D25,$E25,Libur!$A$2:$A$38),0)</f>
        <v>0</v>
      </c>
      <c r="AL25" s="53">
        <f>IF(AND($D25&lt;=AL$17,$E25&gt;=AL$16),$C25*NETWORKDAYS(MAX($D25,AL$16),MIN($E25,AL$17),Libur!$A$2:$A$38)/NETWORKDAYS($D25,$E25,Libur!$A$2:$A$38),0)</f>
        <v>0</v>
      </c>
      <c r="AM25" s="53">
        <f>IF(AND($D25&lt;=AM$17,$E25&gt;=AM$16),$C25*NETWORKDAYS(MAX($D25,AM$16),MIN($E25,AM$17),Libur!$A$2:$A$38)/NETWORKDAYS($D25,$E25,Libur!$A$2:$A$38),0)</f>
        <v>0</v>
      </c>
      <c r="AN25" s="53">
        <f>IF(AND($D25&lt;=AN$17,$E25&gt;=AN$16),$C25*NETWORKDAYS(MAX($D25,AN$16),MIN($E25,AN$17),Libur!$A$2:$A$38)/NETWORKDAYS($D25,$E25,Libur!$A$2:$A$38),0)</f>
        <v>0</v>
      </c>
      <c r="AO25" s="53">
        <f>IF(AND($D25&lt;=AO$17,$E25&gt;=AO$16),$C25*NETWORKDAYS(MAX($D25,AO$16),MIN($E25,AO$17),Libur!$A$2:$A$38)/NETWORKDAYS($D25,$E25,Libur!$A$2:$A$38),0)</f>
        <v>0</v>
      </c>
      <c r="AP25" s="53">
        <f>IF(AND($D25&lt;=AP$17,$E25&gt;=AP$16),$C25*NETWORKDAYS(MAX($D25,AP$16),MIN($E25,AP$17),Libur!$A$2:$A$38)/NETWORKDAYS($D25,$E25,Libur!$A$2:$A$38),0)</f>
        <v>0</v>
      </c>
      <c r="AQ25" s="53">
        <f>IF(AND($D25&lt;=AQ$17,$E25&gt;=AQ$16),$C25*NETWORKDAYS(MAX($D25,AQ$16),MIN($E25,AQ$17),Libur!$A$2:$A$38)/NETWORKDAYS($D25,$E25,Libur!$A$2:$A$38),0)</f>
        <v>0</v>
      </c>
      <c r="AR25" s="53">
        <f>IF(AND($D25&lt;=AR$17,$E25&gt;=AR$16),$C25*NETWORKDAYS(MAX($D25,AR$16),MIN($E25,AR$17),Libur!$A$2:$A$38)/NETWORKDAYS($D25,$E25,Libur!$A$2:$A$38),0)</f>
        <v>0</v>
      </c>
      <c r="AS25" s="53">
        <f>IF(AND($D25&lt;=AS$17,$E25&gt;=AS$16),$C25*NETWORKDAYS(MAX($D25,AS$16),MIN($E25,AS$17),Libur!$A$2:$A$38)/NETWORKDAYS($D25,$E25,Libur!$A$2:$A$38),0)</f>
        <v>0</v>
      </c>
      <c r="AT25" s="53">
        <f>IF(AND($D25&lt;=AT$17,$E25&gt;=AT$16),$C25*NETWORKDAYS(MAX($D25,AT$16),MIN($E25,AT$17),Libur!$A$2:$A$38)/NETWORKDAYS($D25,$E25,Libur!$A$2:$A$38),0)</f>
        <v>0</v>
      </c>
      <c r="AU25" s="53">
        <f>IF(AND($D25&lt;=AU$17,$E25&gt;=AU$16),$C25*NETWORKDAYS(MAX($D25,AU$16),MIN($E25,AU$17),Libur!$A$2:$A$38)/NETWORKDAYS($D25,$E25,Libur!$A$2:$A$38),0)</f>
        <v>0</v>
      </c>
      <c r="AV25" s="53">
        <f>IF(AND($D25&lt;=AV$17,$E25&gt;=AV$16),$C25*NETWORKDAYS(MAX($D25,AV$16),MIN($E25,AV$17),Libur!$A$2:$A$38)/NETWORKDAYS($D25,$E25,Libur!$A$2:$A$38),0)</f>
        <v>0</v>
      </c>
      <c r="AW25" s="53">
        <f>IF(AND($D25&lt;=AW$17,$E25&gt;=AW$16),$C25*NETWORKDAYS(MAX($D25,AW$16),MIN($E25,AW$17),Libur!$A$2:$A$38)/NETWORKDAYS($D25,$E25,Libur!$A$2:$A$38),0)</f>
        <v>0</v>
      </c>
      <c r="AX25" s="53">
        <f>IF(AND($D25&lt;=AX$17,$E25&gt;=AX$16),$C25*NETWORKDAYS(MAX($D25,AX$16),MIN($E25,AX$17),Libur!$A$2:$A$38)/NETWORKDAYS($D25,$E25,Libur!$A$2:$A$38),0)</f>
        <v>0</v>
      </c>
      <c r="AY25" s="53">
        <f>IF(AND($D25&lt;=AY$17,$E25&gt;=AY$16),$C25*NETWORKDAYS(MAX($D25,AY$16),MIN($E25,AY$17),Libur!$A$2:$A$38)/NETWORKDAYS($D25,$E25,Libur!$A$2:$A$38),0)</f>
        <v>0</v>
      </c>
      <c r="AZ25" s="53">
        <f>IF(AND($D25&lt;=AZ$17,$E25&gt;=AZ$16),$C25*NETWORKDAYS(MAX($D25,AZ$16),MIN($E25,AZ$17),Libur!$A$2:$A$38)/NETWORKDAYS($D25,$E25,Libur!$A$2:$A$38),0)</f>
        <v>0</v>
      </c>
      <c r="BA25" s="53">
        <f>IF(AND($D25&lt;=BA$17,$E25&gt;=BA$16),$C25*NETWORKDAYS(MAX($D25,BA$16),MIN($E25,BA$17),Libur!$A$2:$A$38)/NETWORKDAYS($D25,$E25,Libur!$A$2:$A$38),0)</f>
        <v>0</v>
      </c>
      <c r="BB25" s="53">
        <f>IF(AND($D25&lt;=BB$17,$E25&gt;=BB$16),$C25*NETWORKDAYS(MAX($D25,BB$16),MIN($E25,BB$17),Libur!$A$2:$A$38)/NETWORKDAYS($D25,$E25,Libur!$A$2:$A$38),0)</f>
        <v>0</v>
      </c>
      <c r="BC25" s="53">
        <f>IF(AND($D25&lt;=BC$17,$E25&gt;=BC$16),$C25*NETWORKDAYS(MAX($D25,BC$16),MIN($E25,BC$17),Libur!$A$2:$A$38)/NETWORKDAYS($D25,$E25,Libur!$A$2:$A$38),0)</f>
        <v>0</v>
      </c>
      <c r="BD25" s="53">
        <f>IF(AND($D25&lt;=BD$17,$E25&gt;=BD$16),$C25*NETWORKDAYS(MAX($D25,BD$16),MIN($E25,BD$17),Libur!$A$2:$A$38)/NETWORKDAYS($D25,$E25,Libur!$A$2:$A$38),0)</f>
        <v>0</v>
      </c>
      <c r="BE25" s="53">
        <f>IF(AND($D25&lt;=BE$17,$E25&gt;=BE$16),$C25*NETWORKDAYS(MAX($D25,BE$16),MIN($E25,BE$17),Libur!$A$2:$A$38)/NETWORKDAYS($D25,$E25,Libur!$A$2:$A$38),0)</f>
        <v>0</v>
      </c>
      <c r="BF25" s="53">
        <f>IF(AND($D25&lt;=BF$17,$E25&gt;=BF$16),$C25*NETWORKDAYS(MAX($D25,BF$16),MIN($E25,BF$17),Libur!$A$2:$A$38)/NETWORKDAYS($D25,$E25,Libur!$A$2:$A$38),0)</f>
        <v>0</v>
      </c>
      <c r="BG25" s="53">
        <f>IF(AND($D25&lt;=BG$17,$E25&gt;=BG$16),$C25*NETWORKDAYS(MAX($D25,BG$16),MIN($E25,BG$17),Libur!$A$2:$A$38)/NETWORKDAYS($D25,$E25,Libur!$A$2:$A$38),0)</f>
        <v>0</v>
      </c>
      <c r="BH25" s="53">
        <f>IF(AND($D25&lt;=BH$17,$E25&gt;=BH$16),$C25*NETWORKDAYS(MAX($D25,BH$16),MIN($E25,BH$17),Libur!$A$2:$A$38)/NETWORKDAYS($D25,$E25,Libur!$A$2:$A$38),0)</f>
        <v>0</v>
      </c>
      <c r="BI25" s="53">
        <f>IF(AND($D25&lt;=BI$17,$E25&gt;=BI$16),$C25*NETWORKDAYS(MAX($D25,BI$16),MIN($E25,BI$17),Libur!$A$2:$A$38)/NETWORKDAYS($D25,$E25,Libur!$A$2:$A$38),0)</f>
        <v>0</v>
      </c>
      <c r="BJ25" s="53">
        <f>IF(AND($D25&lt;=BJ$17,$E25&gt;=BJ$16),$C25*NETWORKDAYS(MAX($D25,BJ$16),MIN($E25,BJ$17),Libur!$A$2:$A$38)/NETWORKDAYS($D25,$E25,Libur!$A$2:$A$38),0)</f>
        <v>0</v>
      </c>
      <c r="BK25" s="53">
        <f>IF(AND($D25&lt;=BK$17,$E25&gt;=BK$16),$C25*NETWORKDAYS(MAX($D25,BK$16),MIN($E25,BK$17),Libur!$A$2:$A$38)/NETWORKDAYS($D25,$E25,Libur!$A$2:$A$38),0)</f>
        <v>0</v>
      </c>
    </row>
    <row r="26" spans="1:63" x14ac:dyDescent="0.25">
      <c r="A26" s="45"/>
      <c r="B26" s="55" t="s">
        <v>78</v>
      </c>
      <c r="C26" s="48">
        <v>0.02</v>
      </c>
      <c r="D26" s="47">
        <v>46160</v>
      </c>
      <c r="E26" s="47">
        <v>46161</v>
      </c>
      <c r="F26" s="7">
        <f>C26</f>
        <v>0.02</v>
      </c>
      <c r="G26" s="48">
        <f>SUM(P26:AZ26)</f>
        <v>0.02</v>
      </c>
      <c r="H26" s="49">
        <f>NETWORKDAYS(D26,E26,Libur!$A$2:$A$56)</f>
        <v>2</v>
      </c>
      <c r="I26" s="48">
        <f>IF($C$8&gt;E26,100/100,IF($C$8&lt;=D26,0,(NETWORKDAYS(D26,$C$8)/NETWORKDAYS(D26,E26))))</f>
        <v>0</v>
      </c>
      <c r="J26" s="48">
        <f>I26*F26</f>
        <v>0</v>
      </c>
      <c r="K26" s="48">
        <v>0</v>
      </c>
      <c r="L26" s="48">
        <f>C26*K26</f>
        <v>0</v>
      </c>
      <c r="M26" s="122">
        <f>L26-J26</f>
        <v>0</v>
      </c>
      <c r="N26" s="51">
        <f>C26</f>
        <v>0.02</v>
      </c>
      <c r="O26" s="52">
        <f>SUM(P26:BK26)</f>
        <v>0.02</v>
      </c>
      <c r="P26" s="53">
        <f>IF(AND($D26&lt;=P$17,$E26&gt;=P$16),$C26*NETWORKDAYS(MAX($D26,P$16),MIN($E26,P$17),Libur!$A$2:$A$38)/NETWORKDAYS($D26,$E26,Libur!$A$2:$A$38),0)</f>
        <v>0</v>
      </c>
      <c r="Q26" s="53">
        <f>IF(AND($D26&lt;=Q$17,$E26&gt;=Q$16),$C26*NETWORKDAYS(MAX($D26,Q$16),MIN($E26,Q$17),Libur!$A$2:$A$38)/NETWORKDAYS($D26,$E26,Libur!$A$2:$A$38),0)</f>
        <v>0</v>
      </c>
      <c r="R26" s="53">
        <f>IF(AND($D26&lt;=R$17,$E26&gt;=R$16),$C26*NETWORKDAYS(MAX($D26,R$16),MIN($E26,R$17),Libur!$A$2:$A$38)/NETWORKDAYS($D26,$E26,Libur!$A$2:$A$38),0)</f>
        <v>0.02</v>
      </c>
      <c r="S26" s="53">
        <f>IF(AND($D26&lt;=S$17,$E26&gt;=S$16),$C26*NETWORKDAYS(MAX($D26,S$16),MIN($E26,S$17),Libur!$A$2:$A$38)/NETWORKDAYS($D26,$E26,Libur!$A$2:$A$38),0)</f>
        <v>0</v>
      </c>
      <c r="T26" s="53">
        <f>IF(AND($D26&lt;=T$17,$E26&gt;=T$16),$C26*NETWORKDAYS(MAX($D26,T$16),MIN($E26,T$17),Libur!$A$2:$A$38)/NETWORKDAYS($D26,$E26,Libur!$A$2:$A$38),0)</f>
        <v>0</v>
      </c>
      <c r="U26" s="53">
        <f>IF(AND($D26&lt;=U$17,$E26&gt;=U$16),$C26*NETWORKDAYS(MAX($D26,U$16),MIN($E26,U$17),Libur!$A$2:$A$38)/NETWORKDAYS($D26,$E26,Libur!$A$2:$A$38),0)</f>
        <v>0</v>
      </c>
      <c r="V26" s="53">
        <f>IF(AND($D26&lt;=V$17,$E26&gt;=V$16),$C26*NETWORKDAYS(MAX($D26,V$16),MIN($E26,V$17),Libur!$A$2:$A$38)/NETWORKDAYS($D26,$E26,Libur!$A$2:$A$38),0)</f>
        <v>0</v>
      </c>
      <c r="W26" s="53">
        <f>IF(AND($D26&lt;=W$17,$E26&gt;=W$16),$C26*NETWORKDAYS(MAX($D26,W$16),MIN($E26,W$17),Libur!$A$2:$A$38)/NETWORKDAYS($D26,$E26,Libur!$A$2:$A$38),0)</f>
        <v>0</v>
      </c>
      <c r="X26" s="53">
        <f>IF(AND($D26&lt;=X$17,$E26&gt;=X$16),$C26*NETWORKDAYS(MAX($D26,X$16),MIN($E26,X$17),Libur!$A$2:$A$38)/NETWORKDAYS($D26,$E26,Libur!$A$2:$A$38),0)</f>
        <v>0</v>
      </c>
      <c r="Y26" s="53">
        <f>IF(AND($D26&lt;=Y$17,$E26&gt;=Y$16),$C26*NETWORKDAYS(MAX($D26,Y$16),MIN($E26,Y$17),Libur!$A$2:$A$38)/NETWORKDAYS($D26,$E26,Libur!$A$2:$A$38),0)</f>
        <v>0</v>
      </c>
      <c r="Z26" s="53">
        <f>IF(AND($D26&lt;=Z$17,$E26&gt;=Z$16),$C26*NETWORKDAYS(MAX($D26,Z$16),MIN($E26,Z$17),Libur!$A$2:$A$38)/NETWORKDAYS($D26,$E26,Libur!$A$2:$A$38),0)</f>
        <v>0</v>
      </c>
      <c r="AA26" s="53">
        <f>IF(AND($D26&lt;=AA$17,$E26&gt;=AA$16),$C26*NETWORKDAYS(MAX($D26,AA$16),MIN($E26,AA$17),Libur!$A$2:$A$38)/NETWORKDAYS($D26,$E26,Libur!$A$2:$A$38),0)</f>
        <v>0</v>
      </c>
      <c r="AB26" s="53">
        <f>IF(AND($D26&lt;=AB$17,$E26&gt;=AB$16),$C26*NETWORKDAYS(MAX($D26,AB$16),MIN($E26,AB$17),Libur!$A$2:$A$38)/NETWORKDAYS($D26,$E26,Libur!$A$2:$A$38),0)</f>
        <v>0</v>
      </c>
      <c r="AC26" s="53">
        <f>IF(AND($D26&lt;=AC$17,$E26&gt;=AC$16),$C26*NETWORKDAYS(MAX($D26,AC$16),MIN($E26,AC$17),Libur!$A$2:$A$38)/NETWORKDAYS($D26,$E26,Libur!$A$2:$A$38),0)</f>
        <v>0</v>
      </c>
      <c r="AD26" s="53">
        <f>IF(AND($D26&lt;=AD$17,$E26&gt;=AD$16),$C26*NETWORKDAYS(MAX($D26,AD$16),MIN($E26,AD$17),Libur!$A$2:$A$38)/NETWORKDAYS($D26,$E26,Libur!$A$2:$A$38),0)</f>
        <v>0</v>
      </c>
      <c r="AE26" s="53">
        <f>IF(AND($D26&lt;=AE$17,$E26&gt;=AE$16),$C26*NETWORKDAYS(MAX($D26,AE$16),MIN($E26,AE$17),Libur!$A$2:$A$38)/NETWORKDAYS($D26,$E26,Libur!$A$2:$A$38),0)</f>
        <v>0</v>
      </c>
      <c r="AF26" s="53">
        <f>IF(AND($D26&lt;=AF$17,$E26&gt;=AF$16),$C26*NETWORKDAYS(MAX($D26,AF$16),MIN($E26,AF$17),Libur!$A$2:$A$38)/NETWORKDAYS($D26,$E26,Libur!$A$2:$A$38),0)</f>
        <v>0</v>
      </c>
      <c r="AG26" s="53">
        <f>IF(AND($D26&lt;=AG$17,$E26&gt;=AG$16),$C26*NETWORKDAYS(MAX($D26,AG$16),MIN($E26,AG$17),Libur!$A$2:$A$38)/NETWORKDAYS($D26,$E26,Libur!$A$2:$A$38),0)</f>
        <v>0</v>
      </c>
      <c r="AH26" s="53">
        <f>IF(AND($D26&lt;=AH$17,$E26&gt;=AH$16),$C26*NETWORKDAYS(MAX($D26,AH$16),MIN($E26,AH$17),Libur!$A$2:$A$38)/NETWORKDAYS($D26,$E26,Libur!$A$2:$A$38),0)</f>
        <v>0</v>
      </c>
      <c r="AI26" s="53">
        <f>IF(AND($D26&lt;=AI$17,$E26&gt;=AI$16),$C26*NETWORKDAYS(MAX($D26,AI$16),MIN($E26,AI$17),Libur!$A$2:$A$38)/NETWORKDAYS($D26,$E26,Libur!$A$2:$A$38),0)</f>
        <v>0</v>
      </c>
      <c r="AJ26" s="53">
        <f>IF(AND($D26&lt;=AJ$17,$E26&gt;=AJ$16),$C26*NETWORKDAYS(MAX($D26,AJ$16),MIN($E26,AJ$17),Libur!$A$2:$A$38)/NETWORKDAYS($D26,$E26,Libur!$A$2:$A$38),0)</f>
        <v>0</v>
      </c>
      <c r="AK26" s="53">
        <f>IF(AND($D26&lt;=AK$17,$E26&gt;=AK$16),$C26*NETWORKDAYS(MAX($D26,AK$16),MIN($E26,AK$17),Libur!$A$2:$A$38)/NETWORKDAYS($D26,$E26,Libur!$A$2:$A$38),0)</f>
        <v>0</v>
      </c>
      <c r="AL26" s="53">
        <f>IF(AND($D26&lt;=AL$17,$E26&gt;=AL$16),$C26*NETWORKDAYS(MAX($D26,AL$16),MIN($E26,AL$17),Libur!$A$2:$A$38)/NETWORKDAYS($D26,$E26,Libur!$A$2:$A$38),0)</f>
        <v>0</v>
      </c>
      <c r="AM26" s="53">
        <f>IF(AND($D26&lt;=AM$17,$E26&gt;=AM$16),$C26*NETWORKDAYS(MAX($D26,AM$16),MIN($E26,AM$17),Libur!$A$2:$A$38)/NETWORKDAYS($D26,$E26,Libur!$A$2:$A$38),0)</f>
        <v>0</v>
      </c>
      <c r="AN26" s="53">
        <f>IF(AND($D26&lt;=AN$17,$E26&gt;=AN$16),$C26*NETWORKDAYS(MAX($D26,AN$16),MIN($E26,AN$17),Libur!$A$2:$A$38)/NETWORKDAYS($D26,$E26,Libur!$A$2:$A$38),0)</f>
        <v>0</v>
      </c>
      <c r="AO26" s="53">
        <f>IF(AND($D26&lt;=AO$17,$E26&gt;=AO$16),$C26*NETWORKDAYS(MAX($D26,AO$16),MIN($E26,AO$17),Libur!$A$2:$A$38)/NETWORKDAYS($D26,$E26,Libur!$A$2:$A$38),0)</f>
        <v>0</v>
      </c>
      <c r="AP26" s="53">
        <f>IF(AND($D26&lt;=AP$17,$E26&gt;=AP$16),$C26*NETWORKDAYS(MAX($D26,AP$16),MIN($E26,AP$17),Libur!$A$2:$A$38)/NETWORKDAYS($D26,$E26,Libur!$A$2:$A$38),0)</f>
        <v>0</v>
      </c>
      <c r="AQ26" s="53">
        <f>IF(AND($D26&lt;=AQ$17,$E26&gt;=AQ$16),$C26*NETWORKDAYS(MAX($D26,AQ$16),MIN($E26,AQ$17),Libur!$A$2:$A$38)/NETWORKDAYS($D26,$E26,Libur!$A$2:$A$38),0)</f>
        <v>0</v>
      </c>
      <c r="AR26" s="53">
        <f>IF(AND($D26&lt;=AR$17,$E26&gt;=AR$16),$C26*NETWORKDAYS(MAX($D26,AR$16),MIN($E26,AR$17),Libur!$A$2:$A$38)/NETWORKDAYS($D26,$E26,Libur!$A$2:$A$38),0)</f>
        <v>0</v>
      </c>
      <c r="AS26" s="53">
        <f>IF(AND($D26&lt;=AS$17,$E26&gt;=AS$16),$C26*NETWORKDAYS(MAX($D26,AS$16),MIN($E26,AS$17),Libur!$A$2:$A$38)/NETWORKDAYS($D26,$E26,Libur!$A$2:$A$38),0)</f>
        <v>0</v>
      </c>
      <c r="AT26" s="53">
        <f>IF(AND($D26&lt;=AT$17,$E26&gt;=AT$16),$C26*NETWORKDAYS(MAX($D26,AT$16),MIN($E26,AT$17),Libur!$A$2:$A$38)/NETWORKDAYS($D26,$E26,Libur!$A$2:$A$38),0)</f>
        <v>0</v>
      </c>
      <c r="AU26" s="53">
        <f>IF(AND($D26&lt;=AU$17,$E26&gt;=AU$16),$C26*NETWORKDAYS(MAX($D26,AU$16),MIN($E26,AU$17),Libur!$A$2:$A$38)/NETWORKDAYS($D26,$E26,Libur!$A$2:$A$38),0)</f>
        <v>0</v>
      </c>
      <c r="AV26" s="53">
        <f>IF(AND($D26&lt;=AV$17,$E26&gt;=AV$16),$C26*NETWORKDAYS(MAX($D26,AV$16),MIN($E26,AV$17),Libur!$A$2:$A$38)/NETWORKDAYS($D26,$E26,Libur!$A$2:$A$38),0)</f>
        <v>0</v>
      </c>
      <c r="AW26" s="53">
        <f>IF(AND($D26&lt;=AW$17,$E26&gt;=AW$16),$C26*NETWORKDAYS(MAX($D26,AW$16),MIN($E26,AW$17),Libur!$A$2:$A$38)/NETWORKDAYS($D26,$E26,Libur!$A$2:$A$38),0)</f>
        <v>0</v>
      </c>
      <c r="AX26" s="53">
        <f>IF(AND($D26&lt;=AX$17,$E26&gt;=AX$16),$C26*NETWORKDAYS(MAX($D26,AX$16),MIN($E26,AX$17),Libur!$A$2:$A$38)/NETWORKDAYS($D26,$E26,Libur!$A$2:$A$38),0)</f>
        <v>0</v>
      </c>
      <c r="AY26" s="53">
        <f>IF(AND($D26&lt;=AY$17,$E26&gt;=AY$16),$C26*NETWORKDAYS(MAX($D26,AY$16),MIN($E26,AY$17),Libur!$A$2:$A$38)/NETWORKDAYS($D26,$E26,Libur!$A$2:$A$38),0)</f>
        <v>0</v>
      </c>
      <c r="AZ26" s="53">
        <f>IF(AND($D26&lt;=AZ$17,$E26&gt;=AZ$16),$C26*NETWORKDAYS(MAX($D26,AZ$16),MIN($E26,AZ$17),Libur!$A$2:$A$38)/NETWORKDAYS($D26,$E26,Libur!$A$2:$A$38),0)</f>
        <v>0</v>
      </c>
      <c r="BA26" s="53">
        <f>IF(AND($D26&lt;=BA$17,$E26&gt;=BA$16),$C26*NETWORKDAYS(MAX($D26,BA$16),MIN($E26,BA$17),Libur!$A$2:$A$38)/NETWORKDAYS($D26,$E26,Libur!$A$2:$A$38),0)</f>
        <v>0</v>
      </c>
      <c r="BB26" s="53">
        <f>IF(AND($D26&lt;=BB$17,$E26&gt;=BB$16),$C26*NETWORKDAYS(MAX($D26,BB$16),MIN($E26,BB$17),Libur!$A$2:$A$38)/NETWORKDAYS($D26,$E26,Libur!$A$2:$A$38),0)</f>
        <v>0</v>
      </c>
      <c r="BC26" s="53">
        <f>IF(AND($D26&lt;=BC$17,$E26&gt;=BC$16),$C26*NETWORKDAYS(MAX($D26,BC$16),MIN($E26,BC$17),Libur!$A$2:$A$38)/NETWORKDAYS($D26,$E26,Libur!$A$2:$A$38),0)</f>
        <v>0</v>
      </c>
      <c r="BD26" s="53">
        <f>IF(AND($D26&lt;=BD$17,$E26&gt;=BD$16),$C26*NETWORKDAYS(MAX($D26,BD$16),MIN($E26,BD$17),Libur!$A$2:$A$38)/NETWORKDAYS($D26,$E26,Libur!$A$2:$A$38),0)</f>
        <v>0</v>
      </c>
      <c r="BE26" s="53">
        <f>IF(AND($D26&lt;=BE$17,$E26&gt;=BE$16),$C26*NETWORKDAYS(MAX($D26,BE$16),MIN($E26,BE$17),Libur!$A$2:$A$38)/NETWORKDAYS($D26,$E26,Libur!$A$2:$A$38),0)</f>
        <v>0</v>
      </c>
      <c r="BF26" s="53">
        <f>IF(AND($D26&lt;=BF$17,$E26&gt;=BF$16),$C26*NETWORKDAYS(MAX($D26,BF$16),MIN($E26,BF$17),Libur!$A$2:$A$38)/NETWORKDAYS($D26,$E26,Libur!$A$2:$A$38),0)</f>
        <v>0</v>
      </c>
      <c r="BG26" s="53">
        <f>IF(AND($D26&lt;=BG$17,$E26&gt;=BG$16),$C26*NETWORKDAYS(MAX($D26,BG$16),MIN($E26,BG$17),Libur!$A$2:$A$38)/NETWORKDAYS($D26,$E26,Libur!$A$2:$A$38),0)</f>
        <v>0</v>
      </c>
      <c r="BH26" s="53">
        <f>IF(AND($D26&lt;=BH$17,$E26&gt;=BH$16),$C26*NETWORKDAYS(MAX($D26,BH$16),MIN($E26,BH$17),Libur!$A$2:$A$38)/NETWORKDAYS($D26,$E26,Libur!$A$2:$A$38),0)</f>
        <v>0</v>
      </c>
      <c r="BI26" s="53">
        <f>IF(AND($D26&lt;=BI$17,$E26&gt;=BI$16),$C26*NETWORKDAYS(MAX($D26,BI$16),MIN($E26,BI$17),Libur!$A$2:$A$38)/NETWORKDAYS($D26,$E26,Libur!$A$2:$A$38),0)</f>
        <v>0</v>
      </c>
      <c r="BJ26" s="53">
        <f>IF(AND($D26&lt;=BJ$17,$E26&gt;=BJ$16),$C26*NETWORKDAYS(MAX($D26,BJ$16),MIN($E26,BJ$17),Libur!$A$2:$A$38)/NETWORKDAYS($D26,$E26,Libur!$A$2:$A$38),0)</f>
        <v>0</v>
      </c>
      <c r="BK26" s="53">
        <f>IF(AND($D26&lt;=BK$17,$E26&gt;=BK$16),$C26*NETWORKDAYS(MAX($D26,BK$16),MIN($E26,BK$17),Libur!$A$2:$A$38)/NETWORKDAYS($D26,$E26,Libur!$A$2:$A$38),0)</f>
        <v>0</v>
      </c>
    </row>
    <row r="27" spans="1:63" x14ac:dyDescent="0.25">
      <c r="A27" s="45"/>
      <c r="B27" s="55"/>
      <c r="C27" s="48"/>
      <c r="D27" s="47"/>
      <c r="E27" s="47"/>
      <c r="F27" s="7"/>
      <c r="G27" s="48"/>
      <c r="H27" s="49"/>
      <c r="I27" s="48"/>
      <c r="J27" s="48"/>
      <c r="K27" s="48"/>
      <c r="L27" s="48"/>
      <c r="M27" s="48"/>
      <c r="N27" s="51"/>
      <c r="O27" s="52"/>
      <c r="P27" s="53">
        <f>IF(AND($D27&lt;=P$17,$E27&gt;=P$16),$C27*NETWORKDAYS(MAX($D27,P$16),MIN($E27,P$17),Libur!$A$2:$A$38)/NETWORKDAYS($D27,$E27,Libur!$A$2:$A$38),0)</f>
        <v>0</v>
      </c>
      <c r="Q27" s="53">
        <f>IF(AND($D27&lt;=Q$17,$E27&gt;=Q$16),$C27*NETWORKDAYS(MAX($D27,Q$16),MIN($E27,Q$17),Libur!$A$2:$A$38)/NETWORKDAYS($D27,$E27,Libur!$A$2:$A$38),0)</f>
        <v>0</v>
      </c>
      <c r="R27" s="53">
        <f>IF(AND($D27&lt;=R$17,$E27&gt;=R$16),$C27*NETWORKDAYS(MAX($D27,R$16),MIN($E27,R$17),Libur!$A$2:$A$38)/NETWORKDAYS($D27,$E27,Libur!$A$2:$A$38),0)</f>
        <v>0</v>
      </c>
      <c r="S27" s="53">
        <f>IF(AND($D27&lt;=S$17,$E27&gt;=S$16),$C27*NETWORKDAYS(MAX($D27,S$16),MIN($E27,S$17),Libur!$A$2:$A$38)/NETWORKDAYS($D27,$E27,Libur!$A$2:$A$38),0)</f>
        <v>0</v>
      </c>
      <c r="T27" s="53">
        <f>IF(AND($D27&lt;=T$17,$E27&gt;=T$16),$C27*NETWORKDAYS(MAX($D27,T$16),MIN($E27,T$17),Libur!$A$2:$A$38)/NETWORKDAYS($D27,$E27,Libur!$A$2:$A$38),0)</f>
        <v>0</v>
      </c>
      <c r="U27" s="53">
        <f>IF(AND($D27&lt;=U$17,$E27&gt;=U$16),$C27*NETWORKDAYS(MAX($D27,U$16),MIN($E27,U$17),Libur!$A$2:$A$38)/NETWORKDAYS($D27,$E27,Libur!$A$2:$A$38),0)</f>
        <v>0</v>
      </c>
      <c r="V27" s="53">
        <f>IF(AND($D27&lt;=V$17,$E27&gt;=V$16),$C27*NETWORKDAYS(MAX($D27,V$16),MIN($E27,V$17),Libur!$A$2:$A$38)/NETWORKDAYS($D27,$E27,Libur!$A$2:$A$38),0)</f>
        <v>0</v>
      </c>
      <c r="W27" s="53">
        <f>IF(AND($D27&lt;=W$17,$E27&gt;=W$16),$C27*NETWORKDAYS(MAX($D27,W$16),MIN($E27,W$17),Libur!$A$2:$A$38)/NETWORKDAYS($D27,$E27,Libur!$A$2:$A$38),0)</f>
        <v>0</v>
      </c>
      <c r="X27" s="53">
        <f>IF(AND($D27&lt;=X$17,$E27&gt;=X$16),$C27*NETWORKDAYS(MAX($D27,X$16),MIN($E27,X$17),Libur!$A$2:$A$38)/NETWORKDAYS($D27,$E27,Libur!$A$2:$A$38),0)</f>
        <v>0</v>
      </c>
      <c r="Y27" s="53">
        <f>IF(AND($D27&lt;=Y$17,$E27&gt;=Y$16),$C27*NETWORKDAYS(MAX($D27,Y$16),MIN($E27,Y$17),Libur!$A$2:$A$38)/NETWORKDAYS($D27,$E27,Libur!$A$2:$A$38),0)</f>
        <v>0</v>
      </c>
      <c r="Z27" s="53">
        <f>IF(AND($D27&lt;=Z$17,$E27&gt;=Z$16),$C27*NETWORKDAYS(MAX($D27,Z$16),MIN($E27,Z$17),Libur!$A$2:$A$38)/NETWORKDAYS($D27,$E27,Libur!$A$2:$A$38),0)</f>
        <v>0</v>
      </c>
      <c r="AA27" s="53">
        <f>IF(AND($D27&lt;=AA$17,$E27&gt;=AA$16),$C27*NETWORKDAYS(MAX($D27,AA$16),MIN($E27,AA$17),Libur!$A$2:$A$38)/NETWORKDAYS($D27,$E27,Libur!$A$2:$A$38),0)</f>
        <v>0</v>
      </c>
      <c r="AB27" s="53">
        <f>IF(AND($D27&lt;=AB$17,$E27&gt;=AB$16),$C27*NETWORKDAYS(MAX($D27,AB$16),MIN($E27,AB$17),Libur!$A$2:$A$38)/NETWORKDAYS($D27,$E27,Libur!$A$2:$A$38),0)</f>
        <v>0</v>
      </c>
      <c r="AC27" s="53">
        <f>IF(AND($D27&lt;=AC$17,$E27&gt;=AC$16),$C27*NETWORKDAYS(MAX($D27,AC$16),MIN($E27,AC$17),Libur!$A$2:$A$38)/NETWORKDAYS($D27,$E27,Libur!$A$2:$A$38),0)</f>
        <v>0</v>
      </c>
      <c r="AD27" s="53">
        <f>IF(AND($D27&lt;=AD$17,$E27&gt;=AD$16),$C27*NETWORKDAYS(MAX($D27,AD$16),MIN($E27,AD$17),Libur!$A$2:$A$38)/NETWORKDAYS($D27,$E27,Libur!$A$2:$A$38),0)</f>
        <v>0</v>
      </c>
      <c r="AE27" s="53">
        <f>IF(AND($D27&lt;=AE$17,$E27&gt;=AE$16),$C27*NETWORKDAYS(MAX($D27,AE$16),MIN($E27,AE$17),Libur!$A$2:$A$38)/NETWORKDAYS($D27,$E27,Libur!$A$2:$A$38),0)</f>
        <v>0</v>
      </c>
      <c r="AF27" s="53">
        <f>IF(AND($D27&lt;=AF$17,$E27&gt;=AF$16),$C27*NETWORKDAYS(MAX($D27,AF$16),MIN($E27,AF$17),Libur!$A$2:$A$38)/NETWORKDAYS($D27,$E27,Libur!$A$2:$A$38),0)</f>
        <v>0</v>
      </c>
      <c r="AG27" s="53">
        <f>IF(AND($D27&lt;=AG$17,$E27&gt;=AG$16),$C27*NETWORKDAYS(MAX($D27,AG$16),MIN($E27,AG$17),Libur!$A$2:$A$38)/NETWORKDAYS($D27,$E27,Libur!$A$2:$A$38),0)</f>
        <v>0</v>
      </c>
      <c r="AH27" s="53">
        <f>IF(AND($D27&lt;=AH$17,$E27&gt;=AH$16),$C27*NETWORKDAYS(MAX($D27,AH$16),MIN($E27,AH$17),Libur!$A$2:$A$38)/NETWORKDAYS($D27,$E27,Libur!$A$2:$A$38),0)</f>
        <v>0</v>
      </c>
      <c r="AI27" s="53">
        <f>IF(AND($D27&lt;=AI$17,$E27&gt;=AI$16),$C27*NETWORKDAYS(MAX($D27,AI$16),MIN($E27,AI$17),Libur!$A$2:$A$38)/NETWORKDAYS($D27,$E27,Libur!$A$2:$A$38),0)</f>
        <v>0</v>
      </c>
      <c r="AJ27" s="53">
        <f>IF(AND($D27&lt;=AJ$17,$E27&gt;=AJ$16),$C27*NETWORKDAYS(MAX($D27,AJ$16),MIN($E27,AJ$17),Libur!$A$2:$A$38)/NETWORKDAYS($D27,$E27,Libur!$A$2:$A$38),0)</f>
        <v>0</v>
      </c>
      <c r="AK27" s="53">
        <f>IF(AND($D27&lt;=AK$17,$E27&gt;=AK$16),$C27*NETWORKDAYS(MAX($D27,AK$16),MIN($E27,AK$17),Libur!$A$2:$A$38)/NETWORKDAYS($D27,$E27,Libur!$A$2:$A$38),0)</f>
        <v>0</v>
      </c>
      <c r="AL27" s="53">
        <f>IF(AND($D27&lt;=AL$17,$E27&gt;=AL$16),$C27*NETWORKDAYS(MAX($D27,AL$16),MIN($E27,AL$17),Libur!$A$2:$A$38)/NETWORKDAYS($D27,$E27,Libur!$A$2:$A$38),0)</f>
        <v>0</v>
      </c>
      <c r="AM27" s="53">
        <f>IF(AND($D27&lt;=AM$17,$E27&gt;=AM$16),$C27*NETWORKDAYS(MAX($D27,AM$16),MIN($E27,AM$17),Libur!$A$2:$A$38)/NETWORKDAYS($D27,$E27,Libur!$A$2:$A$38),0)</f>
        <v>0</v>
      </c>
      <c r="AN27" s="53">
        <f>IF(AND($D27&lt;=AN$17,$E27&gt;=AN$16),$C27*NETWORKDAYS(MAX($D27,AN$16),MIN($E27,AN$17),Libur!$A$2:$A$38)/NETWORKDAYS($D27,$E27,Libur!$A$2:$A$38),0)</f>
        <v>0</v>
      </c>
      <c r="AO27" s="53">
        <f>IF(AND($D27&lt;=AO$17,$E27&gt;=AO$16),$C27*NETWORKDAYS(MAX($D27,AO$16),MIN($E27,AO$17),Libur!$A$2:$A$38)/NETWORKDAYS($D27,$E27,Libur!$A$2:$A$38),0)</f>
        <v>0</v>
      </c>
      <c r="AP27" s="53">
        <f>IF(AND($D27&lt;=AP$17,$E27&gt;=AP$16),$C27*NETWORKDAYS(MAX($D27,AP$16),MIN($E27,AP$17),Libur!$A$2:$A$38)/NETWORKDAYS($D27,$E27,Libur!$A$2:$A$38),0)</f>
        <v>0</v>
      </c>
      <c r="AQ27" s="53">
        <f>IF(AND($D27&lt;=AQ$17,$E27&gt;=AQ$16),$C27*NETWORKDAYS(MAX($D27,AQ$16),MIN($E27,AQ$17),Libur!$A$2:$A$38)/NETWORKDAYS($D27,$E27,Libur!$A$2:$A$38),0)</f>
        <v>0</v>
      </c>
      <c r="AR27" s="53">
        <f>IF(AND($D27&lt;=AR$17,$E27&gt;=AR$16),$C27*NETWORKDAYS(MAX($D27,AR$16),MIN($E27,AR$17),Libur!$A$2:$A$38)/NETWORKDAYS($D27,$E27,Libur!$A$2:$A$38),0)</f>
        <v>0</v>
      </c>
      <c r="AS27" s="53">
        <f>IF(AND($D27&lt;=AS$17,$E27&gt;=AS$16),$C27*NETWORKDAYS(MAX($D27,AS$16),MIN($E27,AS$17),Libur!$A$2:$A$38)/NETWORKDAYS($D27,$E27,Libur!$A$2:$A$38),0)</f>
        <v>0</v>
      </c>
      <c r="AT27" s="53">
        <f>IF(AND($D27&lt;=AT$17,$E27&gt;=AT$16),$C27*NETWORKDAYS(MAX($D27,AT$16),MIN($E27,AT$17),Libur!$A$2:$A$38)/NETWORKDAYS($D27,$E27,Libur!$A$2:$A$38),0)</f>
        <v>0</v>
      </c>
      <c r="AU27" s="53">
        <f>IF(AND($D27&lt;=AU$17,$E27&gt;=AU$16),$C27*NETWORKDAYS(MAX($D27,AU$16),MIN($E27,AU$17),Libur!$A$2:$A$38)/NETWORKDAYS($D27,$E27,Libur!$A$2:$A$38),0)</f>
        <v>0</v>
      </c>
      <c r="AV27" s="53">
        <f>IF(AND($D27&lt;=AV$17,$E27&gt;=AV$16),$C27*NETWORKDAYS(MAX($D27,AV$16),MIN($E27,AV$17),Libur!$A$2:$A$38)/NETWORKDAYS($D27,$E27,Libur!$A$2:$A$38),0)</f>
        <v>0</v>
      </c>
      <c r="AW27" s="53">
        <f>IF(AND($D27&lt;=AW$17,$E27&gt;=AW$16),$C27*NETWORKDAYS(MAX($D27,AW$16),MIN($E27,AW$17),Libur!$A$2:$A$38)/NETWORKDAYS($D27,$E27,Libur!$A$2:$A$38),0)</f>
        <v>0</v>
      </c>
      <c r="AX27" s="53">
        <f>IF(AND($D27&lt;=AX$17,$E27&gt;=AX$16),$C27*NETWORKDAYS(MAX($D27,AX$16),MIN($E27,AX$17),Libur!$A$2:$A$38)/NETWORKDAYS($D27,$E27,Libur!$A$2:$A$38),0)</f>
        <v>0</v>
      </c>
      <c r="AY27" s="53">
        <f>IF(AND($D27&lt;=AY$17,$E27&gt;=AY$16),$C27*NETWORKDAYS(MAX($D27,AY$16),MIN($E27,AY$17),Libur!$A$2:$A$38)/NETWORKDAYS($D27,$E27,Libur!$A$2:$A$38),0)</f>
        <v>0</v>
      </c>
      <c r="AZ27" s="53">
        <f>IF(AND($D27&lt;=AZ$17,$E27&gt;=AZ$16),$C27*NETWORKDAYS(MAX($D27,AZ$16),MIN($E27,AZ$17),Libur!$A$2:$A$38)/NETWORKDAYS($D27,$E27,Libur!$A$2:$A$38),0)</f>
        <v>0</v>
      </c>
      <c r="BA27" s="53">
        <f>IF(AND($D27&lt;=BA$17,$E27&gt;=BA$16),$C27*NETWORKDAYS(MAX($D27,BA$16),MIN($E27,BA$17),Libur!$A$2:$A$38)/NETWORKDAYS($D27,$E27,Libur!$A$2:$A$38),0)</f>
        <v>0</v>
      </c>
      <c r="BB27" s="53">
        <f>IF(AND($D27&lt;=BB$17,$E27&gt;=BB$16),$C27*NETWORKDAYS(MAX($D27,BB$16),MIN($E27,BB$17),Libur!$A$2:$A$38)/NETWORKDAYS($D27,$E27,Libur!$A$2:$A$38),0)</f>
        <v>0</v>
      </c>
      <c r="BC27" s="53">
        <f>IF(AND($D27&lt;=BC$17,$E27&gt;=BC$16),$C27*NETWORKDAYS(MAX($D27,BC$16),MIN($E27,BC$17),Libur!$A$2:$A$38)/NETWORKDAYS($D27,$E27,Libur!$A$2:$A$38),0)</f>
        <v>0</v>
      </c>
      <c r="BD27" s="53">
        <f>IF(AND($D27&lt;=BD$17,$E27&gt;=BD$16),$C27*NETWORKDAYS(MAX($D27,BD$16),MIN($E27,BD$17),Libur!$A$2:$A$38)/NETWORKDAYS($D27,$E27,Libur!$A$2:$A$38),0)</f>
        <v>0</v>
      </c>
      <c r="BE27" s="53">
        <f>IF(AND($D27&lt;=BE$17,$E27&gt;=BE$16),$C27*NETWORKDAYS(MAX($D27,BE$16),MIN($E27,BE$17),Libur!$A$2:$A$38)/NETWORKDAYS($D27,$E27,Libur!$A$2:$A$38),0)</f>
        <v>0</v>
      </c>
      <c r="BF27" s="53">
        <f>IF(AND($D27&lt;=BF$17,$E27&gt;=BF$16),$C27*NETWORKDAYS(MAX($D27,BF$16),MIN($E27,BF$17),Libur!$A$2:$A$38)/NETWORKDAYS($D27,$E27,Libur!$A$2:$A$38),0)</f>
        <v>0</v>
      </c>
      <c r="BG27" s="53">
        <f>IF(AND($D27&lt;=BG$17,$E27&gt;=BG$16),$C27*NETWORKDAYS(MAX($D27,BG$16),MIN($E27,BG$17),Libur!$A$2:$A$38)/NETWORKDAYS($D27,$E27,Libur!$A$2:$A$38),0)</f>
        <v>0</v>
      </c>
      <c r="BH27" s="53">
        <f>IF(AND($D27&lt;=BH$17,$E27&gt;=BH$16),$C27*NETWORKDAYS(MAX($D27,BH$16),MIN($E27,BH$17),Libur!$A$2:$A$38)/NETWORKDAYS($D27,$E27,Libur!$A$2:$A$38),0)</f>
        <v>0</v>
      </c>
      <c r="BI27" s="53">
        <f>IF(AND($D27&lt;=BI$17,$E27&gt;=BI$16),$C27*NETWORKDAYS(MAX($D27,BI$16),MIN($E27,BI$17),Libur!$A$2:$A$38)/NETWORKDAYS($D27,$E27,Libur!$A$2:$A$38),0)</f>
        <v>0</v>
      </c>
      <c r="BJ27" s="53">
        <f>IF(AND($D27&lt;=BJ$17,$E27&gt;=BJ$16),$C27*NETWORKDAYS(MAX($D27,BJ$16),MIN($E27,BJ$17),Libur!$A$2:$A$38)/NETWORKDAYS($D27,$E27,Libur!$A$2:$A$38),0)</f>
        <v>0</v>
      </c>
      <c r="BK27" s="53">
        <f>IF(AND($D27&lt;=BK$17,$E27&gt;=BK$16),$C27*NETWORKDAYS(MAX($D27,BK$16),MIN($E27,BK$17),Libur!$A$2:$A$38)/NETWORKDAYS($D27,$E27,Libur!$A$2:$A$38),0)</f>
        <v>0</v>
      </c>
    </row>
    <row r="28" spans="1:63" x14ac:dyDescent="0.25">
      <c r="A28" s="36" t="s">
        <v>79</v>
      </c>
      <c r="B28" s="9" t="s">
        <v>80</v>
      </c>
      <c r="C28" s="37">
        <f>SUM(C29:C30)</f>
        <v>0.1</v>
      </c>
      <c r="D28" s="38">
        <v>46154</v>
      </c>
      <c r="E28" s="38">
        <v>46168</v>
      </c>
      <c r="F28" s="7"/>
      <c r="G28" s="48"/>
      <c r="H28" s="40">
        <f>NETWORKDAYS(D28,E28,Libur!$A$2:$A$56)</f>
        <v>9</v>
      </c>
      <c r="I28" s="54">
        <f>IF($C$8&gt;E28,100/100,IF($C$8&lt;=D28,0,(NETWORKDAYS(D28,$C$8)/NETWORKDAYS(D28,E28))))</f>
        <v>0</v>
      </c>
      <c r="J28" s="54">
        <f>SUM(J29:J30)</f>
        <v>0</v>
      </c>
      <c r="K28" s="54">
        <f>AVERAGE(K29:K30)</f>
        <v>0</v>
      </c>
      <c r="L28" s="54">
        <f>SUM(L29:L30)</f>
        <v>0</v>
      </c>
      <c r="M28" s="54">
        <f>SUM(M29:M30)</f>
        <v>0</v>
      </c>
      <c r="N28" s="51"/>
      <c r="O28" s="52"/>
      <c r="P28" s="53"/>
      <c r="Q28" s="53"/>
      <c r="R28" s="53"/>
      <c r="S28" s="53"/>
      <c r="T28" s="53">
        <f>IF(AND($D28&lt;=T$17,$E28&gt;=T$16),$C28*NETWORKDAYS(MAX($D28,T$16),MIN($E28,T$17),Libur!$A$2:$A$38)/NETWORKDAYS($D28,$E28,Libur!$A$2:$A$38),0)</f>
        <v>0</v>
      </c>
      <c r="U28" s="53">
        <f>IF(AND($D28&lt;=U$17,$E28&gt;=U$16),$C28*NETWORKDAYS(MAX($D28,U$16),MIN($E28,U$17),Libur!$A$2:$A$38)/NETWORKDAYS($D28,$E28,Libur!$A$2:$A$38),0)</f>
        <v>0</v>
      </c>
      <c r="V28" s="53">
        <f>IF(AND($D28&lt;=V$17,$E28&gt;=V$16),$C28*NETWORKDAYS(MAX($D28,V$16),MIN($E28,V$17),Libur!$A$2:$A$38)/NETWORKDAYS($D28,$E28,Libur!$A$2:$A$38),0)</f>
        <v>0</v>
      </c>
      <c r="W28" s="53">
        <f>IF(AND($D28&lt;=W$17,$E28&gt;=W$16),$C28*NETWORKDAYS(MAX($D28,W$16),MIN($E28,W$17),Libur!$A$2:$A$38)/NETWORKDAYS($D28,$E28,Libur!$A$2:$A$38),0)</f>
        <v>0</v>
      </c>
      <c r="X28" s="53">
        <f>IF(AND($D28&lt;=X$17,$E28&gt;=X$16),$C28*NETWORKDAYS(MAX($D28,X$16),MIN($E28,X$17),Libur!$A$2:$A$38)/NETWORKDAYS($D28,$E28,Libur!$A$2:$A$38),0)</f>
        <v>0</v>
      </c>
      <c r="Y28" s="53">
        <f>IF(AND($D28&lt;=Y$17,$E28&gt;=Y$16),$C28*NETWORKDAYS(MAX($D28,Y$16),MIN($E28,Y$17),Libur!$A$2:$A$38)/NETWORKDAYS($D28,$E28,Libur!$A$2:$A$38),0)</f>
        <v>0</v>
      </c>
      <c r="Z28" s="53">
        <f>IF(AND($D28&lt;=Z$17,$E28&gt;=Z$16),$C28*NETWORKDAYS(MAX($D28,Z$16),MIN($E28,Z$17),Libur!$A$2:$A$38)/NETWORKDAYS($D28,$E28,Libur!$A$2:$A$38),0)</f>
        <v>0</v>
      </c>
      <c r="AA28" s="53">
        <f>IF(AND($D28&lt;=AA$17,$E28&gt;=AA$16),$C28*NETWORKDAYS(MAX($D28,AA$16),MIN($E28,AA$17),Libur!$A$2:$A$38)/NETWORKDAYS($D28,$E28,Libur!$A$2:$A$38),0)</f>
        <v>0</v>
      </c>
      <c r="AB28" s="53">
        <f>IF(AND($D28&lt;=AB$17,$E28&gt;=AB$16),$C28*NETWORKDAYS(MAX($D28,AB$16),MIN($E28,AB$17),Libur!$A$2:$A$38)/NETWORKDAYS($D28,$E28,Libur!$A$2:$A$38),0)</f>
        <v>0</v>
      </c>
      <c r="AC28" s="53">
        <f>IF(AND($D28&lt;=AC$17,$E28&gt;=AC$16),$C28*NETWORKDAYS(MAX($D28,AC$16),MIN($E28,AC$17),Libur!$A$2:$A$38)/NETWORKDAYS($D28,$E28,Libur!$A$2:$A$38),0)</f>
        <v>0</v>
      </c>
      <c r="AD28" s="53">
        <f>IF(AND($D28&lt;=AD$17,$E28&gt;=AD$16),$C28*NETWORKDAYS(MAX($D28,AD$16),MIN($E28,AD$17),Libur!$A$2:$A$38)/NETWORKDAYS($D28,$E28,Libur!$A$2:$A$38),0)</f>
        <v>0</v>
      </c>
      <c r="AE28" s="53">
        <f>IF(AND($D28&lt;=AE$17,$E28&gt;=AE$16),$C28*NETWORKDAYS(MAX($D28,AE$16),MIN($E28,AE$17),Libur!$A$2:$A$38)/NETWORKDAYS($D28,$E28,Libur!$A$2:$A$38),0)</f>
        <v>0</v>
      </c>
      <c r="AF28" s="53">
        <f>IF(AND($D28&lt;=AF$17,$E28&gt;=AF$16),$C28*NETWORKDAYS(MAX($D28,AF$16),MIN($E28,AF$17),Libur!$A$2:$A$38)/NETWORKDAYS($D28,$E28,Libur!$A$2:$A$38),0)</f>
        <v>0</v>
      </c>
      <c r="AG28" s="53">
        <f>IF(AND($D28&lt;=AG$17,$E28&gt;=AG$16),$C28*NETWORKDAYS(MAX($D28,AG$16),MIN($E28,AG$17),Libur!$A$2:$A$38)/NETWORKDAYS($D28,$E28,Libur!$A$2:$A$38),0)</f>
        <v>0</v>
      </c>
      <c r="AH28" s="53">
        <f>IF(AND($D28&lt;=AH$17,$E28&gt;=AH$16),$C28*NETWORKDAYS(MAX($D28,AH$16),MIN($E28,AH$17),Libur!$A$2:$A$38)/NETWORKDAYS($D28,$E28,Libur!$A$2:$A$38),0)</f>
        <v>0</v>
      </c>
      <c r="AI28" s="53">
        <f>IF(AND($D28&lt;=AI$17,$E28&gt;=AI$16),$C28*NETWORKDAYS(MAX($D28,AI$16),MIN($E28,AI$17),Libur!$A$2:$A$38)/NETWORKDAYS($D28,$E28,Libur!$A$2:$A$38),0)</f>
        <v>0</v>
      </c>
      <c r="AJ28" s="53">
        <f>IF(AND($D28&lt;=AJ$17,$E28&gt;=AJ$16),$C28*NETWORKDAYS(MAX($D28,AJ$16),MIN($E28,AJ$17),Libur!$A$2:$A$38)/NETWORKDAYS($D28,$E28,Libur!$A$2:$A$38),0)</f>
        <v>0</v>
      </c>
      <c r="AK28" s="53">
        <f>IF(AND($D28&lt;=AK$17,$E28&gt;=AK$16),$C28*NETWORKDAYS(MAX($D28,AK$16),MIN($E28,AK$17),Libur!$A$2:$A$38)/NETWORKDAYS($D28,$E28,Libur!$A$2:$A$38),0)</f>
        <v>0</v>
      </c>
      <c r="AL28" s="53">
        <f>IF(AND($D28&lt;=AL$17,$E28&gt;=AL$16),$C28*NETWORKDAYS(MAX($D28,AL$16),MIN($E28,AL$17),Libur!$A$2:$A$38)/NETWORKDAYS($D28,$E28,Libur!$A$2:$A$38),0)</f>
        <v>0</v>
      </c>
      <c r="AM28" s="53">
        <f>IF(AND($D28&lt;=AM$17,$E28&gt;=AM$16),$C28*NETWORKDAYS(MAX($D28,AM$16),MIN($E28,AM$17),Libur!$A$2:$A$38)/NETWORKDAYS($D28,$E28,Libur!$A$2:$A$38),0)</f>
        <v>0</v>
      </c>
      <c r="AN28" s="53">
        <f>IF(AND($D28&lt;=AN$17,$E28&gt;=AN$16),$C28*NETWORKDAYS(MAX($D28,AN$16),MIN($E28,AN$17),Libur!$A$2:$A$38)/NETWORKDAYS($D28,$E28,Libur!$A$2:$A$38),0)</f>
        <v>0</v>
      </c>
      <c r="AO28" s="53">
        <f>IF(AND($D28&lt;=AO$17,$E28&gt;=AO$16),$C28*NETWORKDAYS(MAX($D28,AO$16),MIN($E28,AO$17),Libur!$A$2:$A$38)/NETWORKDAYS($D28,$E28,Libur!$A$2:$A$38),0)</f>
        <v>0</v>
      </c>
      <c r="AP28" s="53">
        <f>IF(AND($D28&lt;=AP$17,$E28&gt;=AP$16),$C28*NETWORKDAYS(MAX($D28,AP$16),MIN($E28,AP$17),Libur!$A$2:$A$38)/NETWORKDAYS($D28,$E28,Libur!$A$2:$A$38),0)</f>
        <v>0</v>
      </c>
      <c r="AQ28" s="53">
        <f>IF(AND($D28&lt;=AQ$17,$E28&gt;=AQ$16),$C28*NETWORKDAYS(MAX($D28,AQ$16),MIN($E28,AQ$17),Libur!$A$2:$A$38)/NETWORKDAYS($D28,$E28,Libur!$A$2:$A$38),0)</f>
        <v>0</v>
      </c>
      <c r="AR28" s="53">
        <f>IF(AND($D28&lt;=AR$17,$E28&gt;=AR$16),$C28*NETWORKDAYS(MAX($D28,AR$16),MIN($E28,AR$17),Libur!$A$2:$A$38)/NETWORKDAYS($D28,$E28,Libur!$A$2:$A$38),0)</f>
        <v>0</v>
      </c>
      <c r="AS28" s="53">
        <f>IF(AND($D28&lt;=AS$17,$E28&gt;=AS$16),$C28*NETWORKDAYS(MAX($D28,AS$16),MIN($E28,AS$17),Libur!$A$2:$A$38)/NETWORKDAYS($D28,$E28,Libur!$A$2:$A$38),0)</f>
        <v>0</v>
      </c>
      <c r="AT28" s="53">
        <f>IF(AND($D28&lt;=AT$17,$E28&gt;=AT$16),$C28*NETWORKDAYS(MAX($D28,AT$16),MIN($E28,AT$17),Libur!$A$2:$A$38)/NETWORKDAYS($D28,$E28,Libur!$A$2:$A$38),0)</f>
        <v>0</v>
      </c>
      <c r="AU28" s="53">
        <f>IF(AND($D28&lt;=AU$17,$E28&gt;=AU$16),$C28*NETWORKDAYS(MAX($D28,AU$16),MIN($E28,AU$17),Libur!$A$2:$A$38)/NETWORKDAYS($D28,$E28,Libur!$A$2:$A$38),0)</f>
        <v>0</v>
      </c>
      <c r="AV28" s="53">
        <f>IF(AND($D28&lt;=AV$17,$E28&gt;=AV$16),$C28*NETWORKDAYS(MAX($D28,AV$16),MIN($E28,AV$17),Libur!$A$2:$A$38)/NETWORKDAYS($D28,$E28,Libur!$A$2:$A$38),0)</f>
        <v>0</v>
      </c>
      <c r="AW28" s="53">
        <f>IF(AND($D28&lt;=AW$17,$E28&gt;=AW$16),$C28*NETWORKDAYS(MAX($D28,AW$16),MIN($E28,AW$17),Libur!$A$2:$A$38)/NETWORKDAYS($D28,$E28,Libur!$A$2:$A$38),0)</f>
        <v>0</v>
      </c>
      <c r="AX28" s="53">
        <f>IF(AND($D28&lt;=AX$17,$E28&gt;=AX$16),$C28*NETWORKDAYS(MAX($D28,AX$16),MIN($E28,AX$17),Libur!$A$2:$A$38)/NETWORKDAYS($D28,$E28,Libur!$A$2:$A$38),0)</f>
        <v>0</v>
      </c>
      <c r="AY28" s="53">
        <f>IF(AND($D28&lt;=AY$17,$E28&gt;=AY$16),$C28*NETWORKDAYS(MAX($D28,AY$16),MIN($E28,AY$17),Libur!$A$2:$A$38)/NETWORKDAYS($D28,$E28,Libur!$A$2:$A$38),0)</f>
        <v>0</v>
      </c>
      <c r="AZ28" s="53">
        <f>IF(AND($D28&lt;=AZ$17,$E28&gt;=AZ$16),$C28*NETWORKDAYS(MAX($D28,AZ$16),MIN($E28,AZ$17),Libur!$A$2:$A$38)/NETWORKDAYS($D28,$E28,Libur!$A$2:$A$38),0)</f>
        <v>0</v>
      </c>
      <c r="BA28" s="53">
        <f>IF(AND($D28&lt;=BA$17,$E28&gt;=BA$16),$C28*NETWORKDAYS(MAX($D28,BA$16),MIN($E28,BA$17),Libur!$A$2:$A$38)/NETWORKDAYS($D28,$E28,Libur!$A$2:$A$38),0)</f>
        <v>0</v>
      </c>
      <c r="BB28" s="53">
        <f>IF(AND($D28&lt;=BB$17,$E28&gt;=BB$16),$C28*NETWORKDAYS(MAX($D28,BB$16),MIN($E28,BB$17),Libur!$A$2:$A$38)/NETWORKDAYS($D28,$E28,Libur!$A$2:$A$38),0)</f>
        <v>0</v>
      </c>
      <c r="BC28" s="53">
        <f>IF(AND($D28&lt;=BC$17,$E28&gt;=BC$16),$C28*NETWORKDAYS(MAX($D28,BC$16),MIN($E28,BC$17),Libur!$A$2:$A$38)/NETWORKDAYS($D28,$E28,Libur!$A$2:$A$38),0)</f>
        <v>0</v>
      </c>
      <c r="BD28" s="53">
        <f>IF(AND($D28&lt;=BD$17,$E28&gt;=BD$16),$C28*NETWORKDAYS(MAX($D28,BD$16),MIN($E28,BD$17),Libur!$A$2:$A$38)/NETWORKDAYS($D28,$E28,Libur!$A$2:$A$38),0)</f>
        <v>0</v>
      </c>
      <c r="BE28" s="53">
        <f>IF(AND($D28&lt;=BE$17,$E28&gt;=BE$16),$C28*NETWORKDAYS(MAX($D28,BE$16),MIN($E28,BE$17),Libur!$A$2:$A$38)/NETWORKDAYS($D28,$E28,Libur!$A$2:$A$38),0)</f>
        <v>0</v>
      </c>
      <c r="BF28" s="53">
        <f>IF(AND($D28&lt;=BF$17,$E28&gt;=BF$16),$C28*NETWORKDAYS(MAX($D28,BF$16),MIN($E28,BF$17),Libur!$A$2:$A$38)/NETWORKDAYS($D28,$E28,Libur!$A$2:$A$38),0)</f>
        <v>0</v>
      </c>
      <c r="BG28" s="53">
        <f>IF(AND($D28&lt;=BG$17,$E28&gt;=BG$16),$C28*NETWORKDAYS(MAX($D28,BG$16),MIN($E28,BG$17),Libur!$A$2:$A$38)/NETWORKDAYS($D28,$E28,Libur!$A$2:$A$38),0)</f>
        <v>0</v>
      </c>
      <c r="BH28" s="53">
        <f>IF(AND($D28&lt;=BH$17,$E28&gt;=BH$16),$C28*NETWORKDAYS(MAX($D28,BH$16),MIN($E28,BH$17),Libur!$A$2:$A$38)/NETWORKDAYS($D28,$E28,Libur!$A$2:$A$38),0)</f>
        <v>0</v>
      </c>
      <c r="BI28" s="53">
        <f>IF(AND($D28&lt;=BI$17,$E28&gt;=BI$16),$C28*NETWORKDAYS(MAX($D28,BI$16),MIN($E28,BI$17),Libur!$A$2:$A$38)/NETWORKDAYS($D28,$E28,Libur!$A$2:$A$38),0)</f>
        <v>0</v>
      </c>
      <c r="BJ28" s="53">
        <f>IF(AND($D28&lt;=BJ$17,$E28&gt;=BJ$16),$C28*NETWORKDAYS(MAX($D28,BJ$16),MIN($E28,BJ$17),Libur!$A$2:$A$38)/NETWORKDAYS($D28,$E28,Libur!$A$2:$A$38),0)</f>
        <v>0</v>
      </c>
      <c r="BK28" s="53">
        <f>IF(AND($D28&lt;=BK$17,$E28&gt;=BK$16),$C28*NETWORKDAYS(MAX($D28,BK$16),MIN($E28,BK$17),Libur!$A$2:$A$38)/NETWORKDAYS($D28,$E28,Libur!$A$2:$A$38),0)</f>
        <v>0</v>
      </c>
    </row>
    <row r="29" spans="1:63" x14ac:dyDescent="0.25">
      <c r="A29" s="45"/>
      <c r="B29" s="55" t="s">
        <v>306</v>
      </c>
      <c r="C29" s="48">
        <v>0.05</v>
      </c>
      <c r="D29" s="47">
        <v>46153</v>
      </c>
      <c r="E29" s="47">
        <v>46163</v>
      </c>
      <c r="F29" s="7">
        <f>C29</f>
        <v>0.05</v>
      </c>
      <c r="G29" s="48">
        <f>SUM(P29:AZ29)</f>
        <v>0.05</v>
      </c>
      <c r="H29" s="49">
        <f>NETWORKDAYS(D29,E29,Libur!$A$2:$A$56)</f>
        <v>7</v>
      </c>
      <c r="I29" s="48">
        <f>IF($C$8&gt;E29,100/100,IF($C$8&lt;=D29,0,(NETWORKDAYS(D29,$C$8)/NETWORKDAYS(D29,E29))))</f>
        <v>0</v>
      </c>
      <c r="J29" s="48">
        <f>I29*F29</f>
        <v>0</v>
      </c>
      <c r="K29" s="48">
        <v>0</v>
      </c>
      <c r="L29" s="48">
        <f>C29*K29</f>
        <v>0</v>
      </c>
      <c r="M29" s="122">
        <f>L29-J29</f>
        <v>0</v>
      </c>
      <c r="N29" s="51">
        <f>C29</f>
        <v>0.05</v>
      </c>
      <c r="O29" s="52">
        <f>SUM(P29:BK29)</f>
        <v>0.05</v>
      </c>
      <c r="P29" s="53">
        <f>IF(AND($D29&lt;=P$17,$E29&gt;=P$16),$C29*NETWORKDAYS(MAX($D29,P$16),MIN($E29,P$17),Libur!$A$2:$A$38)/NETWORKDAYS($D29,$E29,Libur!$A$2:$A$38),0)</f>
        <v>0</v>
      </c>
      <c r="Q29" s="53">
        <f>IF(AND($D29&lt;=Q$17,$E29&gt;=Q$16),$C29*NETWORKDAYS(MAX($D29,Q$16),MIN($E29,Q$17),Libur!$A$2:$A$38)/NETWORKDAYS($D29,$E29,Libur!$A$2:$A$38),0)</f>
        <v>2.7777777777777776E-2</v>
      </c>
      <c r="R29" s="53">
        <f>IF(AND($D29&lt;=R$17,$E29&gt;=R$16),$C29*NETWORKDAYS(MAX($D29,R$16),MIN($E29,R$17),Libur!$A$2:$A$38)/NETWORKDAYS($D29,$E29,Libur!$A$2:$A$38),0)</f>
        <v>2.2222222222222223E-2</v>
      </c>
      <c r="S29" s="53">
        <f>IF(AND($D29&lt;=S$17,$E29&gt;=S$16),$C29*NETWORKDAYS(MAX($D29,S$16),MIN($E29,S$17),Libur!$A$2:$A$38)/NETWORKDAYS($D29,$E29,Libur!$A$2:$A$38),0)</f>
        <v>0</v>
      </c>
      <c r="T29" s="53">
        <f>IF(AND($D29&lt;=T$17,$E29&gt;=T$16),$C29*NETWORKDAYS(MAX($D29,T$16),MIN($E29,T$17),Libur!$A$2:$A$38)/NETWORKDAYS($D29,$E29,Libur!$A$2:$A$38),0)</f>
        <v>0</v>
      </c>
      <c r="U29" s="53">
        <f>IF(AND($D29&lt;=U$17,$E29&gt;=U$16),$C29*NETWORKDAYS(MAX($D29,U$16),MIN($E29,U$17),Libur!$A$2:$A$38)/NETWORKDAYS($D29,$E29,Libur!$A$2:$A$38),0)</f>
        <v>0</v>
      </c>
      <c r="V29" s="53">
        <f>IF(AND($D29&lt;=V$17,$E29&gt;=V$16),$C29*NETWORKDAYS(MAX($D29,V$16),MIN($E29,V$17),Libur!$A$2:$A$38)/NETWORKDAYS($D29,$E29,Libur!$A$2:$A$38),0)</f>
        <v>0</v>
      </c>
      <c r="W29" s="53">
        <f>IF(AND($D29&lt;=W$17,$E29&gt;=W$16),$C29*NETWORKDAYS(MAX($D29,W$16),MIN($E29,W$17),Libur!$A$2:$A$38)/NETWORKDAYS($D29,$E29,Libur!$A$2:$A$38),0)</f>
        <v>0</v>
      </c>
      <c r="X29" s="53">
        <f>IF(AND($D29&lt;=X$17,$E29&gt;=X$16),$C29*NETWORKDAYS(MAX($D29,X$16),MIN($E29,X$17),Libur!$A$2:$A$38)/NETWORKDAYS($D29,$E29,Libur!$A$2:$A$38),0)</f>
        <v>0</v>
      </c>
      <c r="Y29" s="53">
        <f>IF(AND($D29&lt;=Y$17,$E29&gt;=Y$16),$C29*NETWORKDAYS(MAX($D29,Y$16),MIN($E29,Y$17),Libur!$A$2:$A$38)/NETWORKDAYS($D29,$E29,Libur!$A$2:$A$38),0)</f>
        <v>0</v>
      </c>
      <c r="Z29" s="53">
        <f>IF(AND($D29&lt;=Z$17,$E29&gt;=Z$16),$C29*NETWORKDAYS(MAX($D29,Z$16),MIN($E29,Z$17),Libur!$A$2:$A$38)/NETWORKDAYS($D29,$E29,Libur!$A$2:$A$38),0)</f>
        <v>0</v>
      </c>
      <c r="AA29" s="53">
        <f>IF(AND($D29&lt;=AA$17,$E29&gt;=AA$16),$C29*NETWORKDAYS(MAX($D29,AA$16),MIN($E29,AA$17),Libur!$A$2:$A$38)/NETWORKDAYS($D29,$E29,Libur!$A$2:$A$38),0)</f>
        <v>0</v>
      </c>
      <c r="AB29" s="53">
        <f>IF(AND($D29&lt;=AB$17,$E29&gt;=AB$16),$C29*NETWORKDAYS(MAX($D29,AB$16),MIN($E29,AB$17),Libur!$A$2:$A$38)/NETWORKDAYS($D29,$E29,Libur!$A$2:$A$38),0)</f>
        <v>0</v>
      </c>
      <c r="AC29" s="53">
        <f>IF(AND($D29&lt;=AC$17,$E29&gt;=AC$16),$C29*NETWORKDAYS(MAX($D29,AC$16),MIN($E29,AC$17),Libur!$A$2:$A$38)/NETWORKDAYS($D29,$E29,Libur!$A$2:$A$38),0)</f>
        <v>0</v>
      </c>
      <c r="AD29" s="53">
        <f>IF(AND($D29&lt;=AD$17,$E29&gt;=AD$16),$C29*NETWORKDAYS(MAX($D29,AD$16),MIN($E29,AD$17),Libur!$A$2:$A$38)/NETWORKDAYS($D29,$E29,Libur!$A$2:$A$38),0)</f>
        <v>0</v>
      </c>
      <c r="AE29" s="53">
        <f>IF(AND($D29&lt;=AE$17,$E29&gt;=AE$16),$C29*NETWORKDAYS(MAX($D29,AE$16),MIN($E29,AE$17),Libur!$A$2:$A$38)/NETWORKDAYS($D29,$E29,Libur!$A$2:$A$38),0)</f>
        <v>0</v>
      </c>
      <c r="AF29" s="53">
        <f>IF(AND($D29&lt;=AF$17,$E29&gt;=AF$16),$C29*NETWORKDAYS(MAX($D29,AF$16),MIN($E29,AF$17),Libur!$A$2:$A$38)/NETWORKDAYS($D29,$E29,Libur!$A$2:$A$38),0)</f>
        <v>0</v>
      </c>
      <c r="AG29" s="53">
        <f>IF(AND($D29&lt;=AG$17,$E29&gt;=AG$16),$C29*NETWORKDAYS(MAX($D29,AG$16),MIN($E29,AG$17),Libur!$A$2:$A$38)/NETWORKDAYS($D29,$E29,Libur!$A$2:$A$38),0)</f>
        <v>0</v>
      </c>
      <c r="AH29" s="53">
        <f>IF(AND($D29&lt;=AH$17,$E29&gt;=AH$16),$C29*NETWORKDAYS(MAX($D29,AH$16),MIN($E29,AH$17),Libur!$A$2:$A$38)/NETWORKDAYS($D29,$E29,Libur!$A$2:$A$38),0)</f>
        <v>0</v>
      </c>
      <c r="AI29" s="53">
        <f>IF(AND($D29&lt;=AI$17,$E29&gt;=AI$16),$C29*NETWORKDAYS(MAX($D29,AI$16),MIN($E29,AI$17),Libur!$A$2:$A$38)/NETWORKDAYS($D29,$E29,Libur!$A$2:$A$38),0)</f>
        <v>0</v>
      </c>
      <c r="AJ29" s="53">
        <f>IF(AND($D29&lt;=AJ$17,$E29&gt;=AJ$16),$C29*NETWORKDAYS(MAX($D29,AJ$16),MIN($E29,AJ$17),Libur!$A$2:$A$38)/NETWORKDAYS($D29,$E29,Libur!$A$2:$A$38),0)</f>
        <v>0</v>
      </c>
      <c r="AK29" s="53">
        <f>IF(AND($D29&lt;=AK$17,$E29&gt;=AK$16),$C29*NETWORKDAYS(MAX($D29,AK$16),MIN($E29,AK$17),Libur!$A$2:$A$38)/NETWORKDAYS($D29,$E29,Libur!$A$2:$A$38),0)</f>
        <v>0</v>
      </c>
      <c r="AL29" s="53">
        <f>IF(AND($D29&lt;=AL$17,$E29&gt;=AL$16),$C29*NETWORKDAYS(MAX($D29,AL$16),MIN($E29,AL$17),Libur!$A$2:$A$38)/NETWORKDAYS($D29,$E29,Libur!$A$2:$A$38),0)</f>
        <v>0</v>
      </c>
      <c r="AM29" s="53">
        <f>IF(AND($D29&lt;=AM$17,$E29&gt;=AM$16),$C29*NETWORKDAYS(MAX($D29,AM$16),MIN($E29,AM$17),Libur!$A$2:$A$38)/NETWORKDAYS($D29,$E29,Libur!$A$2:$A$38),0)</f>
        <v>0</v>
      </c>
      <c r="AN29" s="53">
        <f>IF(AND($D29&lt;=AN$17,$E29&gt;=AN$16),$C29*NETWORKDAYS(MAX($D29,AN$16),MIN($E29,AN$17),Libur!$A$2:$A$38)/NETWORKDAYS($D29,$E29,Libur!$A$2:$A$38),0)</f>
        <v>0</v>
      </c>
      <c r="AO29" s="53">
        <f>IF(AND($D29&lt;=AO$17,$E29&gt;=AO$16),$C29*NETWORKDAYS(MAX($D29,AO$16),MIN($E29,AO$17),Libur!$A$2:$A$38)/NETWORKDAYS($D29,$E29,Libur!$A$2:$A$38),0)</f>
        <v>0</v>
      </c>
      <c r="AP29" s="53">
        <f>IF(AND($D29&lt;=AP$17,$E29&gt;=AP$16),$C29*NETWORKDAYS(MAX($D29,AP$16),MIN($E29,AP$17),Libur!$A$2:$A$38)/NETWORKDAYS($D29,$E29,Libur!$A$2:$A$38),0)</f>
        <v>0</v>
      </c>
      <c r="AQ29" s="53">
        <f>IF(AND($D29&lt;=AQ$17,$E29&gt;=AQ$16),$C29*NETWORKDAYS(MAX($D29,AQ$16),MIN($E29,AQ$17),Libur!$A$2:$A$38)/NETWORKDAYS($D29,$E29,Libur!$A$2:$A$38),0)</f>
        <v>0</v>
      </c>
      <c r="AR29" s="53">
        <f>IF(AND($D29&lt;=AR$17,$E29&gt;=AR$16),$C29*NETWORKDAYS(MAX($D29,AR$16),MIN($E29,AR$17),Libur!$A$2:$A$38)/NETWORKDAYS($D29,$E29,Libur!$A$2:$A$38),0)</f>
        <v>0</v>
      </c>
      <c r="AS29" s="53">
        <f>IF(AND($D29&lt;=AS$17,$E29&gt;=AS$16),$C29*NETWORKDAYS(MAX($D29,AS$16),MIN($E29,AS$17),Libur!$A$2:$A$38)/NETWORKDAYS($D29,$E29,Libur!$A$2:$A$38),0)</f>
        <v>0</v>
      </c>
      <c r="AT29" s="53">
        <f>IF(AND($D29&lt;=AT$17,$E29&gt;=AT$16),$C29*NETWORKDAYS(MAX($D29,AT$16),MIN($E29,AT$17),Libur!$A$2:$A$38)/NETWORKDAYS($D29,$E29,Libur!$A$2:$A$38),0)</f>
        <v>0</v>
      </c>
      <c r="AU29" s="53">
        <f>IF(AND($D29&lt;=AU$17,$E29&gt;=AU$16),$C29*NETWORKDAYS(MAX($D29,AU$16),MIN($E29,AU$17),Libur!$A$2:$A$38)/NETWORKDAYS($D29,$E29,Libur!$A$2:$A$38),0)</f>
        <v>0</v>
      </c>
      <c r="AV29" s="53">
        <f>IF(AND($D29&lt;=AV$17,$E29&gt;=AV$16),$C29*NETWORKDAYS(MAX($D29,AV$16),MIN($E29,AV$17),Libur!$A$2:$A$38)/NETWORKDAYS($D29,$E29,Libur!$A$2:$A$38),0)</f>
        <v>0</v>
      </c>
      <c r="AW29" s="53">
        <f>IF(AND($D29&lt;=AW$17,$E29&gt;=AW$16),$C29*NETWORKDAYS(MAX($D29,AW$16),MIN($E29,AW$17),Libur!$A$2:$A$38)/NETWORKDAYS($D29,$E29,Libur!$A$2:$A$38),0)</f>
        <v>0</v>
      </c>
      <c r="AX29" s="53">
        <f>IF(AND($D29&lt;=AX$17,$E29&gt;=AX$16),$C29*NETWORKDAYS(MAX($D29,AX$16),MIN($E29,AX$17),Libur!$A$2:$A$38)/NETWORKDAYS($D29,$E29,Libur!$A$2:$A$38),0)</f>
        <v>0</v>
      </c>
      <c r="AY29" s="53">
        <f>IF(AND($D29&lt;=AY$17,$E29&gt;=AY$16),$C29*NETWORKDAYS(MAX($D29,AY$16),MIN($E29,AY$17),Libur!$A$2:$A$38)/NETWORKDAYS($D29,$E29,Libur!$A$2:$A$38),0)</f>
        <v>0</v>
      </c>
      <c r="AZ29" s="53">
        <f>IF(AND($D29&lt;=AZ$17,$E29&gt;=AZ$16),$C29*NETWORKDAYS(MAX($D29,AZ$16),MIN($E29,AZ$17),Libur!$A$2:$A$38)/NETWORKDAYS($D29,$E29,Libur!$A$2:$A$38),0)</f>
        <v>0</v>
      </c>
      <c r="BA29" s="53">
        <f>IF(AND($D29&lt;=BA$17,$E29&gt;=BA$16),$C29*NETWORKDAYS(MAX($D29,BA$16),MIN($E29,BA$17),Libur!$A$2:$A$38)/NETWORKDAYS($D29,$E29,Libur!$A$2:$A$38),0)</f>
        <v>0</v>
      </c>
      <c r="BB29" s="53">
        <f>IF(AND($D29&lt;=BB$17,$E29&gt;=BB$16),$C29*NETWORKDAYS(MAX($D29,BB$16),MIN($E29,BB$17),Libur!$A$2:$A$38)/NETWORKDAYS($D29,$E29,Libur!$A$2:$A$38),0)</f>
        <v>0</v>
      </c>
      <c r="BC29" s="53">
        <f>IF(AND($D29&lt;=BC$17,$E29&gt;=BC$16),$C29*NETWORKDAYS(MAX($D29,BC$16),MIN($E29,BC$17),Libur!$A$2:$A$38)/NETWORKDAYS($D29,$E29,Libur!$A$2:$A$38),0)</f>
        <v>0</v>
      </c>
      <c r="BD29" s="53">
        <f>IF(AND($D29&lt;=BD$17,$E29&gt;=BD$16),$C29*NETWORKDAYS(MAX($D29,BD$16),MIN($E29,BD$17),Libur!$A$2:$A$38)/NETWORKDAYS($D29,$E29,Libur!$A$2:$A$38),0)</f>
        <v>0</v>
      </c>
      <c r="BE29" s="53">
        <f>IF(AND($D29&lt;=BE$17,$E29&gt;=BE$16),$C29*NETWORKDAYS(MAX($D29,BE$16),MIN($E29,BE$17),Libur!$A$2:$A$38)/NETWORKDAYS($D29,$E29,Libur!$A$2:$A$38),0)</f>
        <v>0</v>
      </c>
      <c r="BF29" s="53">
        <f>IF(AND($D29&lt;=BF$17,$E29&gt;=BF$16),$C29*NETWORKDAYS(MAX($D29,BF$16),MIN($E29,BF$17),Libur!$A$2:$A$38)/NETWORKDAYS($D29,$E29,Libur!$A$2:$A$38),0)</f>
        <v>0</v>
      </c>
      <c r="BG29" s="53">
        <f>IF(AND($D29&lt;=BG$17,$E29&gt;=BG$16),$C29*NETWORKDAYS(MAX($D29,BG$16),MIN($E29,BG$17),Libur!$A$2:$A$38)/NETWORKDAYS($D29,$E29,Libur!$A$2:$A$38),0)</f>
        <v>0</v>
      </c>
      <c r="BH29" s="53">
        <f>IF(AND($D29&lt;=BH$17,$E29&gt;=BH$16),$C29*NETWORKDAYS(MAX($D29,BH$16),MIN($E29,BH$17),Libur!$A$2:$A$38)/NETWORKDAYS($D29,$E29,Libur!$A$2:$A$38),0)</f>
        <v>0</v>
      </c>
      <c r="BI29" s="53">
        <f>IF(AND($D29&lt;=BI$17,$E29&gt;=BI$16),$C29*NETWORKDAYS(MAX($D29,BI$16),MIN($E29,BI$17),Libur!$A$2:$A$38)/NETWORKDAYS($D29,$E29,Libur!$A$2:$A$38),0)</f>
        <v>0</v>
      </c>
      <c r="BJ29" s="53">
        <f>IF(AND($D29&lt;=BJ$17,$E29&gt;=BJ$16),$C29*NETWORKDAYS(MAX($D29,BJ$16),MIN($E29,BJ$17),Libur!$A$2:$A$38)/NETWORKDAYS($D29,$E29,Libur!$A$2:$A$38),0)</f>
        <v>0</v>
      </c>
      <c r="BK29" s="53">
        <f>IF(AND($D29&lt;=BK$17,$E29&gt;=BK$16),$C29*NETWORKDAYS(MAX($D29,BK$16),MIN($E29,BK$17),Libur!$A$2:$A$38)/NETWORKDAYS($D29,$E29,Libur!$A$2:$A$38),0)</f>
        <v>0</v>
      </c>
    </row>
    <row r="30" spans="1:63" x14ac:dyDescent="0.25">
      <c r="A30" s="45"/>
      <c r="B30" s="55" t="s">
        <v>82</v>
      </c>
      <c r="C30" s="48">
        <v>0.05</v>
      </c>
      <c r="D30" s="47">
        <v>46164</v>
      </c>
      <c r="E30" s="47">
        <v>46168</v>
      </c>
      <c r="F30" s="7">
        <f>C30</f>
        <v>0.05</v>
      </c>
      <c r="G30" s="48">
        <f>SUM(P30:AZ30)</f>
        <v>0.05</v>
      </c>
      <c r="H30" s="49">
        <f>NETWORKDAYS(D30,E30,Libur!$A$2:$A$56)</f>
        <v>3</v>
      </c>
      <c r="I30" s="48">
        <f>IF($C$8&gt;E30,100/100,IF($C$8&lt;=D30,0,(NETWORKDAYS(D30,$C$8)/NETWORKDAYS(D30,E30))))</f>
        <v>0</v>
      </c>
      <c r="J30" s="48">
        <f>I30*F30</f>
        <v>0</v>
      </c>
      <c r="K30" s="48">
        <v>0</v>
      </c>
      <c r="L30" s="48">
        <f>C30*K30</f>
        <v>0</v>
      </c>
      <c r="M30" s="122">
        <f>L30-J30</f>
        <v>0</v>
      </c>
      <c r="N30" s="51">
        <f>C30</f>
        <v>0.05</v>
      </c>
      <c r="O30" s="52">
        <f>SUM(P30:BK30)</f>
        <v>0.05</v>
      </c>
      <c r="P30" s="53">
        <f>IF(AND($D30&lt;=P$17,$E30&gt;=P$16),$C30*NETWORKDAYS(MAX($D30,P$16),MIN($E30,P$17),Libur!$A$2:$A$38)/NETWORKDAYS($D30,$E30,Libur!$A$2:$A$38),0)</f>
        <v>0</v>
      </c>
      <c r="Q30" s="53">
        <f>IF(AND($D30&lt;=Q$17,$E30&gt;=Q$16),$C30*NETWORKDAYS(MAX($D30,Q$16),MIN($E30,Q$17),Libur!$A$2:$A$38)/NETWORKDAYS($D30,$E30,Libur!$A$2:$A$38),0)</f>
        <v>0</v>
      </c>
      <c r="R30" s="53">
        <f>IF(AND($D30&lt;=R$17,$E30&gt;=R$16),$C30*NETWORKDAYS(MAX($D30,R$16),MIN($E30,R$17),Libur!$A$2:$A$38)/NETWORKDAYS($D30,$E30,Libur!$A$2:$A$38),0)</f>
        <v>1.6666666666666666E-2</v>
      </c>
      <c r="S30" s="53">
        <f>IF(AND($D30&lt;=S$17,$E30&gt;=S$16),$C30*NETWORKDAYS(MAX($D30,S$16),MIN($E30,S$17),Libur!$A$2:$A$38)/NETWORKDAYS($D30,$E30,Libur!$A$2:$A$38),0)</f>
        <v>3.3333333333333333E-2</v>
      </c>
      <c r="T30" s="53">
        <f>IF(AND($D30&lt;=T$17,$E30&gt;=T$16),$C30*NETWORKDAYS(MAX($D30,T$16),MIN($E30,T$17),Libur!$A$2:$A$38)/NETWORKDAYS($D30,$E30,Libur!$A$2:$A$38),0)</f>
        <v>0</v>
      </c>
      <c r="U30" s="53">
        <f>IF(AND($D30&lt;=U$17,$E30&gt;=U$16),$C30*NETWORKDAYS(MAX($D30,U$16),MIN($E30,U$17),Libur!$A$2:$A$38)/NETWORKDAYS($D30,$E30,Libur!$A$2:$A$38),0)</f>
        <v>0</v>
      </c>
      <c r="V30" s="53">
        <f>IF(AND($D30&lt;=V$17,$E30&gt;=V$16),$C30*NETWORKDAYS(MAX($D30,V$16),MIN($E30,V$17),Libur!$A$2:$A$38)/NETWORKDAYS($D30,$E30,Libur!$A$2:$A$38),0)</f>
        <v>0</v>
      </c>
      <c r="W30" s="53">
        <f>IF(AND($D30&lt;=W$17,$E30&gt;=W$16),$C30*NETWORKDAYS(MAX($D30,W$16),MIN($E30,W$17),Libur!$A$2:$A$38)/NETWORKDAYS($D30,$E30,Libur!$A$2:$A$38),0)</f>
        <v>0</v>
      </c>
      <c r="X30" s="53">
        <f>IF(AND($D30&lt;=X$17,$E30&gt;=X$16),$C30*NETWORKDAYS(MAX($D30,X$16),MIN($E30,X$17),Libur!$A$2:$A$38)/NETWORKDAYS($D30,$E30,Libur!$A$2:$A$38),0)</f>
        <v>0</v>
      </c>
      <c r="Y30" s="53">
        <f>IF(AND($D30&lt;=Y$17,$E30&gt;=Y$16),$C30*NETWORKDAYS(MAX($D30,Y$16),MIN($E30,Y$17),Libur!$A$2:$A$38)/NETWORKDAYS($D30,$E30,Libur!$A$2:$A$38),0)</f>
        <v>0</v>
      </c>
      <c r="Z30" s="53">
        <f>IF(AND($D30&lt;=Z$17,$E30&gt;=Z$16),$C30*NETWORKDAYS(MAX($D30,Z$16),MIN($E30,Z$17),Libur!$A$2:$A$38)/NETWORKDAYS($D30,$E30,Libur!$A$2:$A$38),0)</f>
        <v>0</v>
      </c>
      <c r="AA30" s="53">
        <f>IF(AND($D30&lt;=AA$17,$E30&gt;=AA$16),$C30*NETWORKDAYS(MAX($D30,AA$16),MIN($E30,AA$17),Libur!$A$2:$A$38)/NETWORKDAYS($D30,$E30,Libur!$A$2:$A$38),0)</f>
        <v>0</v>
      </c>
      <c r="AB30" s="53">
        <f>IF(AND($D30&lt;=AB$17,$E30&gt;=AB$16),$C30*NETWORKDAYS(MAX($D30,AB$16),MIN($E30,AB$17),Libur!$A$2:$A$38)/NETWORKDAYS($D30,$E30,Libur!$A$2:$A$38),0)</f>
        <v>0</v>
      </c>
      <c r="AC30" s="53">
        <f>IF(AND($D30&lt;=AC$17,$E30&gt;=AC$16),$C30*NETWORKDAYS(MAX($D30,AC$16),MIN($E30,AC$17),Libur!$A$2:$A$38)/NETWORKDAYS($D30,$E30,Libur!$A$2:$A$38),0)</f>
        <v>0</v>
      </c>
      <c r="AD30" s="53">
        <f>IF(AND($D30&lt;=AD$17,$E30&gt;=AD$16),$C30*NETWORKDAYS(MAX($D30,AD$16),MIN($E30,AD$17),Libur!$A$2:$A$38)/NETWORKDAYS($D30,$E30,Libur!$A$2:$A$38),0)</f>
        <v>0</v>
      </c>
      <c r="AE30" s="53">
        <f>IF(AND($D30&lt;=AE$17,$E30&gt;=AE$16),$C30*NETWORKDAYS(MAX($D30,AE$16),MIN($E30,AE$17),Libur!$A$2:$A$38)/NETWORKDAYS($D30,$E30,Libur!$A$2:$A$38),0)</f>
        <v>0</v>
      </c>
      <c r="AF30" s="53">
        <f>IF(AND($D30&lt;=AF$17,$E30&gt;=AF$16),$C30*NETWORKDAYS(MAX($D30,AF$16),MIN($E30,AF$17),Libur!$A$2:$A$38)/NETWORKDAYS($D30,$E30,Libur!$A$2:$A$38),0)</f>
        <v>0</v>
      </c>
      <c r="AG30" s="53">
        <f>IF(AND($D30&lt;=AG$17,$E30&gt;=AG$16),$C30*NETWORKDAYS(MAX($D30,AG$16),MIN($E30,AG$17),Libur!$A$2:$A$38)/NETWORKDAYS($D30,$E30,Libur!$A$2:$A$38),0)</f>
        <v>0</v>
      </c>
      <c r="AH30" s="53">
        <f>IF(AND($D30&lt;=AH$17,$E30&gt;=AH$16),$C30*NETWORKDAYS(MAX($D30,AH$16),MIN($E30,AH$17),Libur!$A$2:$A$38)/NETWORKDAYS($D30,$E30,Libur!$A$2:$A$38),0)</f>
        <v>0</v>
      </c>
      <c r="AI30" s="53">
        <f>IF(AND($D30&lt;=AI$17,$E30&gt;=AI$16),$C30*NETWORKDAYS(MAX($D30,AI$16),MIN($E30,AI$17),Libur!$A$2:$A$38)/NETWORKDAYS($D30,$E30,Libur!$A$2:$A$38),0)</f>
        <v>0</v>
      </c>
      <c r="AJ30" s="53">
        <f>IF(AND($D30&lt;=AJ$17,$E30&gt;=AJ$16),$C30*NETWORKDAYS(MAX($D30,AJ$16),MIN($E30,AJ$17),Libur!$A$2:$A$38)/NETWORKDAYS($D30,$E30,Libur!$A$2:$A$38),0)</f>
        <v>0</v>
      </c>
      <c r="AK30" s="53">
        <f>IF(AND($D30&lt;=AK$17,$E30&gt;=AK$16),$C30*NETWORKDAYS(MAX($D30,AK$16),MIN($E30,AK$17),Libur!$A$2:$A$38)/NETWORKDAYS($D30,$E30,Libur!$A$2:$A$38),0)</f>
        <v>0</v>
      </c>
      <c r="AL30" s="53">
        <f>IF(AND($D30&lt;=AL$17,$E30&gt;=AL$16),$C30*NETWORKDAYS(MAX($D30,AL$16),MIN($E30,AL$17),Libur!$A$2:$A$38)/NETWORKDAYS($D30,$E30,Libur!$A$2:$A$38),0)</f>
        <v>0</v>
      </c>
      <c r="AM30" s="53">
        <f>IF(AND($D30&lt;=AM$17,$E30&gt;=AM$16),$C30*NETWORKDAYS(MAX($D30,AM$16),MIN($E30,AM$17),Libur!$A$2:$A$38)/NETWORKDAYS($D30,$E30,Libur!$A$2:$A$38),0)</f>
        <v>0</v>
      </c>
      <c r="AN30" s="53">
        <f>IF(AND($D30&lt;=AN$17,$E30&gt;=AN$16),$C30*NETWORKDAYS(MAX($D30,AN$16),MIN($E30,AN$17),Libur!$A$2:$A$38)/NETWORKDAYS($D30,$E30,Libur!$A$2:$A$38),0)</f>
        <v>0</v>
      </c>
      <c r="AO30" s="53">
        <f>IF(AND($D30&lt;=AO$17,$E30&gt;=AO$16),$C30*NETWORKDAYS(MAX($D30,AO$16),MIN($E30,AO$17),Libur!$A$2:$A$38)/NETWORKDAYS($D30,$E30,Libur!$A$2:$A$38),0)</f>
        <v>0</v>
      </c>
      <c r="AP30" s="53">
        <f>IF(AND($D30&lt;=AP$17,$E30&gt;=AP$16),$C30*NETWORKDAYS(MAX($D30,AP$16),MIN($E30,AP$17),Libur!$A$2:$A$38)/NETWORKDAYS($D30,$E30,Libur!$A$2:$A$38),0)</f>
        <v>0</v>
      </c>
      <c r="AQ30" s="53">
        <f>IF(AND($D30&lt;=AQ$17,$E30&gt;=AQ$16),$C30*NETWORKDAYS(MAX($D30,AQ$16),MIN($E30,AQ$17),Libur!$A$2:$A$38)/NETWORKDAYS($D30,$E30,Libur!$A$2:$A$38),0)</f>
        <v>0</v>
      </c>
      <c r="AR30" s="53">
        <f>IF(AND($D30&lt;=AR$17,$E30&gt;=AR$16),$C30*NETWORKDAYS(MAX($D30,AR$16),MIN($E30,AR$17),Libur!$A$2:$A$38)/NETWORKDAYS($D30,$E30,Libur!$A$2:$A$38),0)</f>
        <v>0</v>
      </c>
      <c r="AS30" s="53">
        <f>IF(AND($D30&lt;=AS$17,$E30&gt;=AS$16),$C30*NETWORKDAYS(MAX($D30,AS$16),MIN($E30,AS$17),Libur!$A$2:$A$38)/NETWORKDAYS($D30,$E30,Libur!$A$2:$A$38),0)</f>
        <v>0</v>
      </c>
      <c r="AT30" s="53">
        <f>IF(AND($D30&lt;=AT$17,$E30&gt;=AT$16),$C30*NETWORKDAYS(MAX($D30,AT$16),MIN($E30,AT$17),Libur!$A$2:$A$38)/NETWORKDAYS($D30,$E30,Libur!$A$2:$A$38),0)</f>
        <v>0</v>
      </c>
      <c r="AU30" s="53">
        <f>IF(AND($D30&lt;=AU$17,$E30&gt;=AU$16),$C30*NETWORKDAYS(MAX($D30,AU$16),MIN($E30,AU$17),Libur!$A$2:$A$38)/NETWORKDAYS($D30,$E30,Libur!$A$2:$A$38),0)</f>
        <v>0</v>
      </c>
      <c r="AV30" s="53">
        <f>IF(AND($D30&lt;=AV$17,$E30&gt;=AV$16),$C30*NETWORKDAYS(MAX($D30,AV$16),MIN($E30,AV$17),Libur!$A$2:$A$38)/NETWORKDAYS($D30,$E30,Libur!$A$2:$A$38),0)</f>
        <v>0</v>
      </c>
      <c r="AW30" s="53">
        <f>IF(AND($D30&lt;=AW$17,$E30&gt;=AW$16),$C30*NETWORKDAYS(MAX($D30,AW$16),MIN($E30,AW$17),Libur!$A$2:$A$38)/NETWORKDAYS($D30,$E30,Libur!$A$2:$A$38),0)</f>
        <v>0</v>
      </c>
      <c r="AX30" s="53">
        <f>IF(AND($D30&lt;=AX$17,$E30&gt;=AX$16),$C30*NETWORKDAYS(MAX($D30,AX$16),MIN($E30,AX$17),Libur!$A$2:$A$38)/NETWORKDAYS($D30,$E30,Libur!$A$2:$A$38),0)</f>
        <v>0</v>
      </c>
      <c r="AY30" s="53">
        <f>IF(AND($D30&lt;=AY$17,$E30&gt;=AY$16),$C30*NETWORKDAYS(MAX($D30,AY$16),MIN($E30,AY$17),Libur!$A$2:$A$38)/NETWORKDAYS($D30,$E30,Libur!$A$2:$A$38),0)</f>
        <v>0</v>
      </c>
      <c r="AZ30" s="53">
        <f>IF(AND($D30&lt;=AZ$17,$E30&gt;=AZ$16),$C30*NETWORKDAYS(MAX($D30,AZ$16),MIN($E30,AZ$17),Libur!$A$2:$A$38)/NETWORKDAYS($D30,$E30,Libur!$A$2:$A$38),0)</f>
        <v>0</v>
      </c>
      <c r="BA30" s="53">
        <f>IF(AND($D30&lt;=BA$17,$E30&gt;=BA$16),$C30*NETWORKDAYS(MAX($D30,BA$16),MIN($E30,BA$17),Libur!$A$2:$A$38)/NETWORKDAYS($D30,$E30,Libur!$A$2:$A$38),0)</f>
        <v>0</v>
      </c>
      <c r="BB30" s="53">
        <f>IF(AND($D30&lt;=BB$17,$E30&gt;=BB$16),$C30*NETWORKDAYS(MAX($D30,BB$16),MIN($E30,BB$17),Libur!$A$2:$A$38)/NETWORKDAYS($D30,$E30,Libur!$A$2:$A$38),0)</f>
        <v>0</v>
      </c>
      <c r="BC30" s="53">
        <f>IF(AND($D30&lt;=BC$17,$E30&gt;=BC$16),$C30*NETWORKDAYS(MAX($D30,BC$16),MIN($E30,BC$17),Libur!$A$2:$A$38)/NETWORKDAYS($D30,$E30,Libur!$A$2:$A$38),0)</f>
        <v>0</v>
      </c>
      <c r="BD30" s="53">
        <f>IF(AND($D30&lt;=BD$17,$E30&gt;=BD$16),$C30*NETWORKDAYS(MAX($D30,BD$16),MIN($E30,BD$17),Libur!$A$2:$A$38)/NETWORKDAYS($D30,$E30,Libur!$A$2:$A$38),0)</f>
        <v>0</v>
      </c>
      <c r="BE30" s="53">
        <f>IF(AND($D30&lt;=BE$17,$E30&gt;=BE$16),$C30*NETWORKDAYS(MAX($D30,BE$16),MIN($E30,BE$17),Libur!$A$2:$A$38)/NETWORKDAYS($D30,$E30,Libur!$A$2:$A$38),0)</f>
        <v>0</v>
      </c>
      <c r="BF30" s="53">
        <f>IF(AND($D30&lt;=BF$17,$E30&gt;=BF$16),$C30*NETWORKDAYS(MAX($D30,BF$16),MIN($E30,BF$17),Libur!$A$2:$A$38)/NETWORKDAYS($D30,$E30,Libur!$A$2:$A$38),0)</f>
        <v>0</v>
      </c>
      <c r="BG30" s="53">
        <f>IF(AND($D30&lt;=BG$17,$E30&gt;=BG$16),$C30*NETWORKDAYS(MAX($D30,BG$16),MIN($E30,BG$17),Libur!$A$2:$A$38)/NETWORKDAYS($D30,$E30,Libur!$A$2:$A$38),0)</f>
        <v>0</v>
      </c>
      <c r="BH30" s="53">
        <f>IF(AND($D30&lt;=BH$17,$E30&gt;=BH$16),$C30*NETWORKDAYS(MAX($D30,BH$16),MIN($E30,BH$17),Libur!$A$2:$A$38)/NETWORKDAYS($D30,$E30,Libur!$A$2:$A$38),0)</f>
        <v>0</v>
      </c>
      <c r="BI30" s="53">
        <f>IF(AND($D30&lt;=BI$17,$E30&gt;=BI$16),$C30*NETWORKDAYS(MAX($D30,BI$16),MIN($E30,BI$17),Libur!$A$2:$A$38)/NETWORKDAYS($D30,$E30,Libur!$A$2:$A$38),0)</f>
        <v>0</v>
      </c>
      <c r="BJ30" s="53">
        <f>IF(AND($D30&lt;=BJ$17,$E30&gt;=BJ$16),$C30*NETWORKDAYS(MAX($D30,BJ$16),MIN($E30,BJ$17),Libur!$A$2:$A$38)/NETWORKDAYS($D30,$E30,Libur!$A$2:$A$38),0)</f>
        <v>0</v>
      </c>
      <c r="BK30" s="53">
        <f>IF(AND($D30&lt;=BK$17,$E30&gt;=BK$16),$C30*NETWORKDAYS(MAX($D30,BK$16),MIN($E30,BK$17),Libur!$A$2:$A$38)/NETWORKDAYS($D30,$E30,Libur!$A$2:$A$38),0)</f>
        <v>0</v>
      </c>
    </row>
    <row r="31" spans="1:63" x14ac:dyDescent="0.25">
      <c r="A31" s="45"/>
      <c r="B31" s="55"/>
      <c r="C31" s="48"/>
      <c r="D31" s="47"/>
      <c r="E31" s="47"/>
      <c r="F31" s="48"/>
      <c r="G31" s="48"/>
      <c r="H31" s="49"/>
      <c r="I31" s="48"/>
      <c r="J31" s="48"/>
      <c r="K31" s="48"/>
      <c r="L31" s="48"/>
      <c r="M31" s="48"/>
      <c r="N31" s="51"/>
      <c r="O31" s="52"/>
      <c r="P31" s="53">
        <f>IF(AND($D31&lt;=P$17,$E31&gt;=P$16),$C31*NETWORKDAYS(MAX($D31,P$16),MIN($E31,P$17),Libur!$A$2:$A$38)/NETWORKDAYS($D31,$E31,Libur!$A$2:$A$38),0)</f>
        <v>0</v>
      </c>
      <c r="Q31" s="53">
        <f>IF(AND($D31&lt;=Q$17,$E31&gt;=Q$16),$C31*NETWORKDAYS(MAX($D31,Q$16),MIN($E31,Q$17),Libur!$A$2:$A$38)/NETWORKDAYS($D31,$E31,Libur!$A$2:$A$38),0)</f>
        <v>0</v>
      </c>
      <c r="R31" s="53">
        <f>IF(AND($D31&lt;=R$17,$E31&gt;=R$16),$C31*NETWORKDAYS(MAX($D31,R$16),MIN($E31,R$17),Libur!$A$2:$A$38)/NETWORKDAYS($D31,$E31,Libur!$A$2:$A$38),0)</f>
        <v>0</v>
      </c>
      <c r="S31" s="53">
        <f>IF(AND($D31&lt;=S$17,$E31&gt;=S$16),$C31*NETWORKDAYS(MAX($D31,S$16),MIN($E31,S$17),Libur!$A$2:$A$38)/NETWORKDAYS($D31,$E31,Libur!$A$2:$A$38),0)</f>
        <v>0</v>
      </c>
      <c r="T31" s="53">
        <f>IF(AND($D31&lt;=T$17,$E31&gt;=T$16),$C31*NETWORKDAYS(MAX($D31,T$16),MIN($E31,T$17),Libur!$A$2:$A$38)/NETWORKDAYS($D31,$E31,Libur!$A$2:$A$38),0)</f>
        <v>0</v>
      </c>
      <c r="U31" s="53">
        <f>IF(AND($D31&lt;=U$17,$E31&gt;=U$16),$C31*NETWORKDAYS(MAX($D31,U$16),MIN($E31,U$17),Libur!$A$2:$A$38)/NETWORKDAYS($D31,$E31,Libur!$A$2:$A$38),0)</f>
        <v>0</v>
      </c>
      <c r="V31" s="53">
        <f>IF(AND($D31&lt;=V$17,$E31&gt;=V$16),$C31*NETWORKDAYS(MAX($D31,V$16),MIN($E31,V$17),Libur!$A$2:$A$38)/NETWORKDAYS($D31,$E31,Libur!$A$2:$A$38),0)</f>
        <v>0</v>
      </c>
      <c r="W31" s="53">
        <f>IF(AND($D31&lt;=W$17,$E31&gt;=W$16),$C31*NETWORKDAYS(MAX($D31,W$16),MIN($E31,W$17),Libur!$A$2:$A$38)/NETWORKDAYS($D31,$E31,Libur!$A$2:$A$38),0)</f>
        <v>0</v>
      </c>
      <c r="X31" s="53">
        <f>IF(AND($D31&lt;=X$17,$E31&gt;=X$16),$C31*NETWORKDAYS(MAX($D31,X$16),MIN($E31,X$17),Libur!$A$2:$A$38)/NETWORKDAYS($D31,$E31,Libur!$A$2:$A$38),0)</f>
        <v>0</v>
      </c>
      <c r="Y31" s="53">
        <f>IF(AND($D31&lt;=Y$17,$E31&gt;=Y$16),$C31*NETWORKDAYS(MAX($D31,Y$16),MIN($E31,Y$17),Libur!$A$2:$A$38)/NETWORKDAYS($D31,$E31,Libur!$A$2:$A$38),0)</f>
        <v>0</v>
      </c>
      <c r="Z31" s="53">
        <f>IF(AND($D31&lt;=Z$17,$E31&gt;=Z$16),$C31*NETWORKDAYS(MAX($D31,Z$16),MIN($E31,Z$17),Libur!$A$2:$A$38)/NETWORKDAYS($D31,$E31,Libur!$A$2:$A$38),0)</f>
        <v>0</v>
      </c>
      <c r="AA31" s="53">
        <f>IF(AND($D31&lt;=AA$17,$E31&gt;=AA$16),$C31*NETWORKDAYS(MAX($D31,AA$16),MIN($E31,AA$17),Libur!$A$2:$A$38)/NETWORKDAYS($D31,$E31,Libur!$A$2:$A$38),0)</f>
        <v>0</v>
      </c>
      <c r="AB31" s="53">
        <f>IF(AND($D31&lt;=AB$17,$E31&gt;=AB$16),$C31*NETWORKDAYS(MAX($D31,AB$16),MIN($E31,AB$17),Libur!$A$2:$A$38)/NETWORKDAYS($D31,$E31,Libur!$A$2:$A$38),0)</f>
        <v>0</v>
      </c>
      <c r="AC31" s="53">
        <f>IF(AND($D31&lt;=AC$17,$E31&gt;=AC$16),$C31*NETWORKDAYS(MAX($D31,AC$16),MIN($E31,AC$17),Libur!$A$2:$A$38)/NETWORKDAYS($D31,$E31,Libur!$A$2:$A$38),0)</f>
        <v>0</v>
      </c>
      <c r="AD31" s="53">
        <f>IF(AND($D31&lt;=AD$17,$E31&gt;=AD$16),$C31*NETWORKDAYS(MAX($D31,AD$16),MIN($E31,AD$17),Libur!$A$2:$A$38)/NETWORKDAYS($D31,$E31,Libur!$A$2:$A$38),0)</f>
        <v>0</v>
      </c>
      <c r="AE31" s="53">
        <f>IF(AND($D31&lt;=AE$17,$E31&gt;=AE$16),$C31*NETWORKDAYS(MAX($D31,AE$16),MIN($E31,AE$17),Libur!$A$2:$A$38)/NETWORKDAYS($D31,$E31,Libur!$A$2:$A$38),0)</f>
        <v>0</v>
      </c>
      <c r="AF31" s="53">
        <f>IF(AND($D31&lt;=AF$17,$E31&gt;=AF$16),$C31*NETWORKDAYS(MAX($D31,AF$16),MIN($E31,AF$17),Libur!$A$2:$A$38)/NETWORKDAYS($D31,$E31,Libur!$A$2:$A$38),0)</f>
        <v>0</v>
      </c>
      <c r="AG31" s="53">
        <f>IF(AND($D31&lt;=AG$17,$E31&gt;=AG$16),$C31*NETWORKDAYS(MAX($D31,AG$16),MIN($E31,AG$17),Libur!$A$2:$A$38)/NETWORKDAYS($D31,$E31,Libur!$A$2:$A$38),0)</f>
        <v>0</v>
      </c>
      <c r="AH31" s="53">
        <f>IF(AND($D31&lt;=AH$17,$E31&gt;=AH$16),$C31*NETWORKDAYS(MAX($D31,AH$16),MIN($E31,AH$17),Libur!$A$2:$A$38)/NETWORKDAYS($D31,$E31,Libur!$A$2:$A$38),0)</f>
        <v>0</v>
      </c>
      <c r="AI31" s="53">
        <f>IF(AND($D31&lt;=AI$17,$E31&gt;=AI$16),$C31*NETWORKDAYS(MAX($D31,AI$16),MIN($E31,AI$17),Libur!$A$2:$A$38)/NETWORKDAYS($D31,$E31,Libur!$A$2:$A$38),0)</f>
        <v>0</v>
      </c>
      <c r="AJ31" s="53">
        <f>IF(AND($D31&lt;=AJ$17,$E31&gt;=AJ$16),$C31*NETWORKDAYS(MAX($D31,AJ$16),MIN($E31,AJ$17),Libur!$A$2:$A$38)/NETWORKDAYS($D31,$E31,Libur!$A$2:$A$38),0)</f>
        <v>0</v>
      </c>
      <c r="AK31" s="53">
        <f>IF(AND($D31&lt;=AK$17,$E31&gt;=AK$16),$C31*NETWORKDAYS(MAX($D31,AK$16),MIN($E31,AK$17),Libur!$A$2:$A$38)/NETWORKDAYS($D31,$E31,Libur!$A$2:$A$38),0)</f>
        <v>0</v>
      </c>
      <c r="AL31" s="53">
        <f>IF(AND($D31&lt;=AL$17,$E31&gt;=AL$16),$C31*NETWORKDAYS(MAX($D31,AL$16),MIN($E31,AL$17),Libur!$A$2:$A$38)/NETWORKDAYS($D31,$E31,Libur!$A$2:$A$38),0)</f>
        <v>0</v>
      </c>
      <c r="AM31" s="53">
        <f>IF(AND($D31&lt;=AM$17,$E31&gt;=AM$16),$C31*NETWORKDAYS(MAX($D31,AM$16),MIN($E31,AM$17),Libur!$A$2:$A$38)/NETWORKDAYS($D31,$E31,Libur!$A$2:$A$38),0)</f>
        <v>0</v>
      </c>
      <c r="AN31" s="53">
        <f>IF(AND($D31&lt;=AN$17,$E31&gt;=AN$16),$C31*NETWORKDAYS(MAX($D31,AN$16),MIN($E31,AN$17),Libur!$A$2:$A$38)/NETWORKDAYS($D31,$E31,Libur!$A$2:$A$38),0)</f>
        <v>0</v>
      </c>
      <c r="AO31" s="53">
        <f>IF(AND($D31&lt;=AO$17,$E31&gt;=AO$16),$C31*NETWORKDAYS(MAX($D31,AO$16),MIN($E31,AO$17),Libur!$A$2:$A$38)/NETWORKDAYS($D31,$E31,Libur!$A$2:$A$38),0)</f>
        <v>0</v>
      </c>
      <c r="AP31" s="53">
        <f>IF(AND($D31&lt;=AP$17,$E31&gt;=AP$16),$C31*NETWORKDAYS(MAX($D31,AP$16),MIN($E31,AP$17),Libur!$A$2:$A$38)/NETWORKDAYS($D31,$E31,Libur!$A$2:$A$38),0)</f>
        <v>0</v>
      </c>
      <c r="AQ31" s="53">
        <f>IF(AND($D31&lt;=AQ$17,$E31&gt;=AQ$16),$C31*NETWORKDAYS(MAX($D31,AQ$16),MIN($E31,AQ$17),Libur!$A$2:$A$38)/NETWORKDAYS($D31,$E31,Libur!$A$2:$A$38),0)</f>
        <v>0</v>
      </c>
      <c r="AR31" s="53">
        <f>IF(AND($D31&lt;=AR$17,$E31&gt;=AR$16),$C31*NETWORKDAYS(MAX($D31,AR$16),MIN($E31,AR$17),Libur!$A$2:$A$38)/NETWORKDAYS($D31,$E31,Libur!$A$2:$A$38),0)</f>
        <v>0</v>
      </c>
      <c r="AS31" s="53">
        <f>IF(AND($D31&lt;=AS$17,$E31&gt;=AS$16),$C31*NETWORKDAYS(MAX($D31,AS$16),MIN($E31,AS$17),Libur!$A$2:$A$38)/NETWORKDAYS($D31,$E31,Libur!$A$2:$A$38),0)</f>
        <v>0</v>
      </c>
      <c r="AT31" s="53">
        <f>IF(AND($D31&lt;=AT$17,$E31&gt;=AT$16),$C31*NETWORKDAYS(MAX($D31,AT$16),MIN($E31,AT$17),Libur!$A$2:$A$38)/NETWORKDAYS($D31,$E31,Libur!$A$2:$A$38),0)</f>
        <v>0</v>
      </c>
      <c r="AU31" s="53">
        <f>IF(AND($D31&lt;=AU$17,$E31&gt;=AU$16),$C31*NETWORKDAYS(MAX($D31,AU$16),MIN($E31,AU$17),Libur!$A$2:$A$38)/NETWORKDAYS($D31,$E31,Libur!$A$2:$A$38),0)</f>
        <v>0</v>
      </c>
      <c r="AV31" s="53">
        <f>IF(AND($D31&lt;=AV$17,$E31&gt;=AV$16),$C31*NETWORKDAYS(MAX($D31,AV$16),MIN($E31,AV$17),Libur!$A$2:$A$38)/NETWORKDAYS($D31,$E31,Libur!$A$2:$A$38),0)</f>
        <v>0</v>
      </c>
      <c r="AW31" s="53">
        <f>IF(AND($D31&lt;=AW$17,$E31&gt;=AW$16),$C31*NETWORKDAYS(MAX($D31,AW$16),MIN($E31,AW$17),Libur!$A$2:$A$38)/NETWORKDAYS($D31,$E31,Libur!$A$2:$A$38),0)</f>
        <v>0</v>
      </c>
      <c r="AX31" s="53">
        <f>IF(AND($D31&lt;=AX$17,$E31&gt;=AX$16),$C31*NETWORKDAYS(MAX($D31,AX$16),MIN($E31,AX$17),Libur!$A$2:$A$38)/NETWORKDAYS($D31,$E31,Libur!$A$2:$A$38),0)</f>
        <v>0</v>
      </c>
      <c r="AY31" s="53">
        <f>IF(AND($D31&lt;=AY$17,$E31&gt;=AY$16),$C31*NETWORKDAYS(MAX($D31,AY$16),MIN($E31,AY$17),Libur!$A$2:$A$38)/NETWORKDAYS($D31,$E31,Libur!$A$2:$A$38),0)</f>
        <v>0</v>
      </c>
      <c r="AZ31" s="53">
        <f>IF(AND($D31&lt;=AZ$17,$E31&gt;=AZ$16),$C31*NETWORKDAYS(MAX($D31,AZ$16),MIN($E31,AZ$17),Libur!$A$2:$A$38)/NETWORKDAYS($D31,$E31,Libur!$A$2:$A$38),0)</f>
        <v>0</v>
      </c>
      <c r="BA31" s="53">
        <f>IF(AND($D31&lt;=BA$17,$E31&gt;=BA$16),$C31*NETWORKDAYS(MAX($D31,BA$16),MIN($E31,BA$17),Libur!$A$2:$A$38)/NETWORKDAYS($D31,$E31,Libur!$A$2:$A$38),0)</f>
        <v>0</v>
      </c>
      <c r="BB31" s="53">
        <f>IF(AND($D31&lt;=BB$17,$E31&gt;=BB$16),$C31*NETWORKDAYS(MAX($D31,BB$16),MIN($E31,BB$17),Libur!$A$2:$A$38)/NETWORKDAYS($D31,$E31,Libur!$A$2:$A$38),0)</f>
        <v>0</v>
      </c>
      <c r="BC31" s="53">
        <f>IF(AND($D31&lt;=BC$17,$E31&gt;=BC$16),$C31*NETWORKDAYS(MAX($D31,BC$16),MIN($E31,BC$17),Libur!$A$2:$A$38)/NETWORKDAYS($D31,$E31,Libur!$A$2:$A$38),0)</f>
        <v>0</v>
      </c>
      <c r="BD31" s="53">
        <f>IF(AND($D31&lt;=BD$17,$E31&gt;=BD$16),$C31*NETWORKDAYS(MAX($D31,BD$16),MIN($E31,BD$17),Libur!$A$2:$A$38)/NETWORKDAYS($D31,$E31,Libur!$A$2:$A$38),0)</f>
        <v>0</v>
      </c>
      <c r="BE31" s="53">
        <f>IF(AND($D31&lt;=BE$17,$E31&gt;=BE$16),$C31*NETWORKDAYS(MAX($D31,BE$16),MIN($E31,BE$17),Libur!$A$2:$A$38)/NETWORKDAYS($D31,$E31,Libur!$A$2:$A$38),0)</f>
        <v>0</v>
      </c>
      <c r="BF31" s="53">
        <f>IF(AND($D31&lt;=BF$17,$E31&gt;=BF$16),$C31*NETWORKDAYS(MAX($D31,BF$16),MIN($E31,BF$17),Libur!$A$2:$A$38)/NETWORKDAYS($D31,$E31,Libur!$A$2:$A$38),0)</f>
        <v>0</v>
      </c>
      <c r="BG31" s="53">
        <f>IF(AND($D31&lt;=BG$17,$E31&gt;=BG$16),$C31*NETWORKDAYS(MAX($D31,BG$16),MIN($E31,BG$17),Libur!$A$2:$A$38)/NETWORKDAYS($D31,$E31,Libur!$A$2:$A$38),0)</f>
        <v>0</v>
      </c>
      <c r="BH31" s="53">
        <f>IF(AND($D31&lt;=BH$17,$E31&gt;=BH$16),$C31*NETWORKDAYS(MAX($D31,BH$16),MIN($E31,BH$17),Libur!$A$2:$A$38)/NETWORKDAYS($D31,$E31,Libur!$A$2:$A$38),0)</f>
        <v>0</v>
      </c>
      <c r="BI31" s="53">
        <f>IF(AND($D31&lt;=BI$17,$E31&gt;=BI$16),$C31*NETWORKDAYS(MAX($D31,BI$16),MIN($E31,BI$17),Libur!$A$2:$A$38)/NETWORKDAYS($D31,$E31,Libur!$A$2:$A$38),0)</f>
        <v>0</v>
      </c>
      <c r="BJ31" s="53">
        <f>IF(AND($D31&lt;=BJ$17,$E31&gt;=BJ$16),$C31*NETWORKDAYS(MAX($D31,BJ$16),MIN($E31,BJ$17),Libur!$A$2:$A$38)/NETWORKDAYS($D31,$E31,Libur!$A$2:$A$38),0)</f>
        <v>0</v>
      </c>
      <c r="BK31" s="53">
        <f>IF(AND($D31&lt;=BK$17,$E31&gt;=BK$16),$C31*NETWORKDAYS(MAX($D31,BK$16),MIN($E31,BK$17),Libur!$A$2:$A$38)/NETWORKDAYS($D31,$E31,Libur!$A$2:$A$38),0)</f>
        <v>0</v>
      </c>
    </row>
    <row r="32" spans="1:63" s="9" customFormat="1" x14ac:dyDescent="0.25">
      <c r="A32" s="36" t="s">
        <v>83</v>
      </c>
      <c r="B32" s="9" t="s">
        <v>84</v>
      </c>
      <c r="C32" s="37">
        <f>SUM(C33:C36)</f>
        <v>0.2</v>
      </c>
      <c r="D32" s="56">
        <v>46171</v>
      </c>
      <c r="E32" s="56">
        <v>46184</v>
      </c>
      <c r="F32" s="54"/>
      <c r="G32" s="54"/>
      <c r="H32" s="40">
        <f>NETWORKDAYS(D32,E32,Libur!$A$2:$A$56)</f>
        <v>9</v>
      </c>
      <c r="I32" s="54">
        <f>IF($C$8&gt;E32,100/100,IF($C$8&lt;=D32,0,(NETWORKDAYS(D32,$C$8)/NETWORKDAYS(D32,E32))))</f>
        <v>0</v>
      </c>
      <c r="J32" s="54">
        <f>SUM(J33:J36)</f>
        <v>0</v>
      </c>
      <c r="K32" s="54">
        <f>AVERAGE(K33:K36)</f>
        <v>0</v>
      </c>
      <c r="L32" s="54">
        <f>SUM(L33:L36)</f>
        <v>0</v>
      </c>
      <c r="M32" s="54">
        <f>SUM(M33:M36)</f>
        <v>0</v>
      </c>
      <c r="N32" s="57"/>
      <c r="O32" s="58"/>
      <c r="P32" s="53">
        <f>IF(AND($D32&lt;=P$17,$E32&gt;=P$16),$C32*NETWORKDAYS(MAX($D32,P$16),MIN($E32,P$17),Libur!$A$2:$A$38)/NETWORKDAYS($D32,$E32,Libur!$A$2:$A$38),0)</f>
        <v>0</v>
      </c>
      <c r="Q32" s="53">
        <f>IF(AND($D32&lt;=Q$17,$E32&gt;=Q$16),$C32*NETWORKDAYS(MAX($D32,Q$16),MIN($E32,Q$17),Libur!$A$2:$A$38)/NETWORKDAYS($D32,$E32,Libur!$A$2:$A$38),0)</f>
        <v>0</v>
      </c>
      <c r="R32" s="53"/>
      <c r="S32" s="53"/>
      <c r="T32" s="53"/>
      <c r="U32" s="53">
        <f>IF(AND($D32&lt;=U$17,$E32&gt;=U$16),$C32*NETWORKDAYS(MAX($D32,U$16),MIN($E32,U$17),Libur!$A$2:$A$38)/NETWORKDAYS($D32,$E32,Libur!$A$2:$A$38),0)</f>
        <v>0.08</v>
      </c>
      <c r="V32" s="53">
        <f>IF(AND($D32&lt;=V$17,$E32&gt;=V$16),$C32*NETWORKDAYS(MAX($D32,V$16),MIN($E32,V$17),Libur!$A$2:$A$38)/NETWORKDAYS($D32,$E32,Libur!$A$2:$A$38),0)</f>
        <v>0</v>
      </c>
      <c r="W32" s="53">
        <f>IF(AND($D32&lt;=W$17,$E32&gt;=W$16),$C32*NETWORKDAYS(MAX($D32,W$16),MIN($E32,W$17),Libur!$A$2:$A$38)/NETWORKDAYS($D32,$E32,Libur!$A$2:$A$38),0)</f>
        <v>0</v>
      </c>
      <c r="X32" s="53">
        <f>IF(AND($D32&lt;=X$17,$E32&gt;=X$16),$C32*NETWORKDAYS(MAX($D32,X$16),MIN($E32,X$17),Libur!$A$2:$A$38)/NETWORKDAYS($D32,$E32,Libur!$A$2:$A$38),0)</f>
        <v>0</v>
      </c>
      <c r="Y32" s="53">
        <f>IF(AND($D32&lt;=Y$17,$E32&gt;=Y$16),$C32*NETWORKDAYS(MAX($D32,Y$16),MIN($E32,Y$17),Libur!$A$2:$A$38)/NETWORKDAYS($D32,$E32,Libur!$A$2:$A$38),0)</f>
        <v>0</v>
      </c>
      <c r="Z32" s="53">
        <f>IF(AND($D32&lt;=Z$17,$E32&gt;=Z$16),$C32*NETWORKDAYS(MAX($D32,Z$16),MIN($E32,Z$17),Libur!$A$2:$A$38)/NETWORKDAYS($D32,$E32,Libur!$A$2:$A$38),0)</f>
        <v>0</v>
      </c>
      <c r="AA32" s="53">
        <f>IF(AND($D32&lt;=AA$17,$E32&gt;=AA$16),$C32*NETWORKDAYS(MAX($D32,AA$16),MIN($E32,AA$17),Libur!$A$2:$A$38)/NETWORKDAYS($D32,$E32,Libur!$A$2:$A$38),0)</f>
        <v>0</v>
      </c>
      <c r="AB32" s="53">
        <f>IF(AND($D32&lt;=AB$17,$E32&gt;=AB$16),$C32*NETWORKDAYS(MAX($D32,AB$16),MIN($E32,AB$17),Libur!$A$2:$A$38)/NETWORKDAYS($D32,$E32,Libur!$A$2:$A$38),0)</f>
        <v>0</v>
      </c>
      <c r="AC32" s="53">
        <f>IF(AND($D32&lt;=AC$17,$E32&gt;=AC$16),$C32*NETWORKDAYS(MAX($D32,AC$16),MIN($E32,AC$17),Libur!$A$2:$A$38)/NETWORKDAYS($D32,$E32,Libur!$A$2:$A$38),0)</f>
        <v>0</v>
      </c>
      <c r="AD32" s="53">
        <f>IF(AND($D32&lt;=AD$17,$E32&gt;=AD$16),$C32*NETWORKDAYS(MAX($D32,AD$16),MIN($E32,AD$17),Libur!$A$2:$A$38)/NETWORKDAYS($D32,$E32,Libur!$A$2:$A$38),0)</f>
        <v>0</v>
      </c>
      <c r="AE32" s="53">
        <f>IF(AND($D32&lt;=AE$17,$E32&gt;=AE$16),$C32*NETWORKDAYS(MAX($D32,AE$16),MIN($E32,AE$17),Libur!$A$2:$A$38)/NETWORKDAYS($D32,$E32,Libur!$A$2:$A$38),0)</f>
        <v>0</v>
      </c>
      <c r="AF32" s="53">
        <f>IF(AND($D32&lt;=AF$17,$E32&gt;=AF$16),$C32*NETWORKDAYS(MAX($D32,AF$16),MIN($E32,AF$17),Libur!$A$2:$A$38)/NETWORKDAYS($D32,$E32,Libur!$A$2:$A$38),0)</f>
        <v>0</v>
      </c>
      <c r="AG32" s="53">
        <f>IF(AND($D32&lt;=AG$17,$E32&gt;=AG$16),$C32*NETWORKDAYS(MAX($D32,AG$16),MIN($E32,AG$17),Libur!$A$2:$A$38)/NETWORKDAYS($D32,$E32,Libur!$A$2:$A$38),0)</f>
        <v>0</v>
      </c>
      <c r="AH32" s="53">
        <f>IF(AND($D32&lt;=AH$17,$E32&gt;=AH$16),$C32*NETWORKDAYS(MAX($D32,AH$16),MIN($E32,AH$17),Libur!$A$2:$A$38)/NETWORKDAYS($D32,$E32,Libur!$A$2:$A$38),0)</f>
        <v>0</v>
      </c>
      <c r="AI32" s="53">
        <f>IF(AND($D32&lt;=AI$17,$E32&gt;=AI$16),$C32*NETWORKDAYS(MAX($D32,AI$16),MIN($E32,AI$17),Libur!$A$2:$A$38)/NETWORKDAYS($D32,$E32,Libur!$A$2:$A$38),0)</f>
        <v>0</v>
      </c>
      <c r="AJ32" s="53">
        <f>IF(AND($D32&lt;=AJ$17,$E32&gt;=AJ$16),$C32*NETWORKDAYS(MAX($D32,AJ$16),MIN($E32,AJ$17),Libur!$A$2:$A$38)/NETWORKDAYS($D32,$E32,Libur!$A$2:$A$38),0)</f>
        <v>0</v>
      </c>
      <c r="AK32" s="53">
        <f>IF(AND($D32&lt;=AK$17,$E32&gt;=AK$16),$C32*NETWORKDAYS(MAX($D32,AK$16),MIN($E32,AK$17),Libur!$A$2:$A$38)/NETWORKDAYS($D32,$E32,Libur!$A$2:$A$38),0)</f>
        <v>0</v>
      </c>
      <c r="AL32" s="53">
        <f>IF(AND($D32&lt;=AL$17,$E32&gt;=AL$16),$C32*NETWORKDAYS(MAX($D32,AL$16),MIN($E32,AL$17),Libur!$A$2:$A$38)/NETWORKDAYS($D32,$E32,Libur!$A$2:$A$38),0)</f>
        <v>0</v>
      </c>
      <c r="AM32" s="53">
        <f>IF(AND($D32&lt;=AM$17,$E32&gt;=AM$16),$C32*NETWORKDAYS(MAX($D32,AM$16),MIN($E32,AM$17),Libur!$A$2:$A$38)/NETWORKDAYS($D32,$E32,Libur!$A$2:$A$38),0)</f>
        <v>0</v>
      </c>
      <c r="AN32" s="53">
        <f>IF(AND($D32&lt;=AN$17,$E32&gt;=AN$16),$C32*NETWORKDAYS(MAX($D32,AN$16),MIN($E32,AN$17),Libur!$A$2:$A$38)/NETWORKDAYS($D32,$E32,Libur!$A$2:$A$38),0)</f>
        <v>0</v>
      </c>
      <c r="AO32" s="53">
        <f>IF(AND($D32&lt;=AO$17,$E32&gt;=AO$16),$C32*NETWORKDAYS(MAX($D32,AO$16),MIN($E32,AO$17),Libur!$A$2:$A$38)/NETWORKDAYS($D32,$E32,Libur!$A$2:$A$38),0)</f>
        <v>0</v>
      </c>
      <c r="AP32" s="53">
        <f>IF(AND($D32&lt;=AP$17,$E32&gt;=AP$16),$C32*NETWORKDAYS(MAX($D32,AP$16),MIN($E32,AP$17),Libur!$A$2:$A$38)/NETWORKDAYS($D32,$E32,Libur!$A$2:$A$38),0)</f>
        <v>0</v>
      </c>
      <c r="AQ32" s="53">
        <f>IF(AND($D32&lt;=AQ$17,$E32&gt;=AQ$16),$C32*NETWORKDAYS(MAX($D32,AQ$16),MIN($E32,AQ$17),Libur!$A$2:$A$38)/NETWORKDAYS($D32,$E32,Libur!$A$2:$A$38),0)</f>
        <v>0</v>
      </c>
      <c r="AR32" s="53">
        <f>IF(AND($D32&lt;=AR$17,$E32&gt;=AR$16),$C32*NETWORKDAYS(MAX($D32,AR$16),MIN($E32,AR$17),Libur!$A$2:$A$38)/NETWORKDAYS($D32,$E32,Libur!$A$2:$A$38),0)</f>
        <v>0</v>
      </c>
      <c r="AS32" s="53">
        <f>IF(AND($D32&lt;=AS$17,$E32&gt;=AS$16),$C32*NETWORKDAYS(MAX($D32,AS$16),MIN($E32,AS$17),Libur!$A$2:$A$38)/NETWORKDAYS($D32,$E32,Libur!$A$2:$A$38),0)</f>
        <v>0</v>
      </c>
      <c r="AT32" s="53">
        <f>IF(AND($D32&lt;=AT$17,$E32&gt;=AT$16),$C32*NETWORKDAYS(MAX($D32,AT$16),MIN($E32,AT$17),Libur!$A$2:$A$38)/NETWORKDAYS($D32,$E32,Libur!$A$2:$A$38),0)</f>
        <v>0</v>
      </c>
      <c r="AU32" s="53">
        <f>IF(AND($D32&lt;=AU$17,$E32&gt;=AU$16),$C32*NETWORKDAYS(MAX($D32,AU$16),MIN($E32,AU$17),Libur!$A$2:$A$38)/NETWORKDAYS($D32,$E32,Libur!$A$2:$A$38),0)</f>
        <v>0</v>
      </c>
      <c r="AV32" s="53">
        <f>IF(AND($D32&lt;=AV$17,$E32&gt;=AV$16),$C32*NETWORKDAYS(MAX($D32,AV$16),MIN($E32,AV$17),Libur!$A$2:$A$38)/NETWORKDAYS($D32,$E32,Libur!$A$2:$A$38),0)</f>
        <v>0</v>
      </c>
      <c r="AW32" s="53">
        <f>IF(AND($D32&lt;=AW$17,$E32&gt;=AW$16),$C32*NETWORKDAYS(MAX($D32,AW$16),MIN($E32,AW$17),Libur!$A$2:$A$38)/NETWORKDAYS($D32,$E32,Libur!$A$2:$A$38),0)</f>
        <v>0</v>
      </c>
      <c r="AX32" s="53">
        <f>IF(AND($D32&lt;=AX$17,$E32&gt;=AX$16),$C32*NETWORKDAYS(MAX($D32,AX$16),MIN($E32,AX$17),Libur!$A$2:$A$38)/NETWORKDAYS($D32,$E32,Libur!$A$2:$A$38),0)</f>
        <v>0</v>
      </c>
      <c r="AY32" s="53">
        <f>IF(AND($D32&lt;=AY$17,$E32&gt;=AY$16),$C32*NETWORKDAYS(MAX($D32,AY$16),MIN($E32,AY$17),Libur!$A$2:$A$38)/NETWORKDAYS($D32,$E32,Libur!$A$2:$A$38),0)</f>
        <v>0</v>
      </c>
      <c r="AZ32" s="53">
        <f>IF(AND($D32&lt;=AZ$17,$E32&gt;=AZ$16),$C32*NETWORKDAYS(MAX($D32,AZ$16),MIN($E32,AZ$17),Libur!$A$2:$A$38)/NETWORKDAYS($D32,$E32,Libur!$A$2:$A$38),0)</f>
        <v>0</v>
      </c>
      <c r="BA32" s="53">
        <f>IF(AND($D32&lt;=BA$17,$E32&gt;=BA$16),$C32*NETWORKDAYS(MAX($D32,BA$16),MIN($E32,BA$17),Libur!$A$2:$A$38)/NETWORKDAYS($D32,$E32,Libur!$A$2:$A$38),0)</f>
        <v>0</v>
      </c>
      <c r="BB32" s="53">
        <f>IF(AND($D32&lt;=BB$17,$E32&gt;=BB$16),$C32*NETWORKDAYS(MAX($D32,BB$16),MIN($E32,BB$17),Libur!$A$2:$A$38)/NETWORKDAYS($D32,$E32,Libur!$A$2:$A$38),0)</f>
        <v>0</v>
      </c>
      <c r="BC32" s="53">
        <f>IF(AND($D32&lt;=BC$17,$E32&gt;=BC$16),$C32*NETWORKDAYS(MAX($D32,BC$16),MIN($E32,BC$17),Libur!$A$2:$A$38)/NETWORKDAYS($D32,$E32,Libur!$A$2:$A$38),0)</f>
        <v>0</v>
      </c>
      <c r="BD32" s="53">
        <f>IF(AND($D32&lt;=BD$17,$E32&gt;=BD$16),$C32*NETWORKDAYS(MAX($D32,BD$16),MIN($E32,BD$17),Libur!$A$2:$A$38)/NETWORKDAYS($D32,$E32,Libur!$A$2:$A$38),0)</f>
        <v>0</v>
      </c>
      <c r="BE32" s="53">
        <f>IF(AND($D32&lt;=BE$17,$E32&gt;=BE$16),$C32*NETWORKDAYS(MAX($D32,BE$16),MIN($E32,BE$17),Libur!$A$2:$A$38)/NETWORKDAYS($D32,$E32,Libur!$A$2:$A$38),0)</f>
        <v>0</v>
      </c>
      <c r="BF32" s="53">
        <f>IF(AND($D32&lt;=BF$17,$E32&gt;=BF$16),$C32*NETWORKDAYS(MAX($D32,BF$16),MIN($E32,BF$17),Libur!$A$2:$A$38)/NETWORKDAYS($D32,$E32,Libur!$A$2:$A$38),0)</f>
        <v>0</v>
      </c>
      <c r="BG32" s="53">
        <f>IF(AND($D32&lt;=BG$17,$E32&gt;=BG$16),$C32*NETWORKDAYS(MAX($D32,BG$16),MIN($E32,BG$17),Libur!$A$2:$A$38)/NETWORKDAYS($D32,$E32,Libur!$A$2:$A$38),0)</f>
        <v>0</v>
      </c>
      <c r="BH32" s="53">
        <f>IF(AND($D32&lt;=BH$17,$E32&gt;=BH$16),$C32*NETWORKDAYS(MAX($D32,BH$16),MIN($E32,BH$17),Libur!$A$2:$A$38)/NETWORKDAYS($D32,$E32,Libur!$A$2:$A$38),0)</f>
        <v>0</v>
      </c>
      <c r="BI32" s="53">
        <f>IF(AND($D32&lt;=BI$17,$E32&gt;=BI$16),$C32*NETWORKDAYS(MAX($D32,BI$16),MIN($E32,BI$17),Libur!$A$2:$A$38)/NETWORKDAYS($D32,$E32,Libur!$A$2:$A$38),0)</f>
        <v>0</v>
      </c>
      <c r="BJ32" s="53">
        <f>IF(AND($D32&lt;=BJ$17,$E32&gt;=BJ$16),$C32*NETWORKDAYS(MAX($D32,BJ$16),MIN($E32,BJ$17),Libur!$A$2:$A$38)/NETWORKDAYS($D32,$E32,Libur!$A$2:$A$38),0)</f>
        <v>0</v>
      </c>
      <c r="BK32" s="53">
        <f>IF(AND($D32&lt;=BK$17,$E32&gt;=BK$16),$C32*NETWORKDAYS(MAX($D32,BK$16),MIN($E32,BK$17),Libur!$A$2:$A$38)/NETWORKDAYS($D32,$E32,Libur!$A$2:$A$38),0)</f>
        <v>0</v>
      </c>
    </row>
    <row r="33" spans="1:63" x14ac:dyDescent="0.25">
      <c r="A33" s="45"/>
      <c r="B33" s="55" t="s">
        <v>85</v>
      </c>
      <c r="C33" s="48">
        <v>7.0000000000000007E-2</v>
      </c>
      <c r="D33" s="47">
        <v>46171</v>
      </c>
      <c r="E33" s="47">
        <v>46177</v>
      </c>
      <c r="F33" s="7">
        <f>C33</f>
        <v>7.0000000000000007E-2</v>
      </c>
      <c r="G33" s="48">
        <f>SUM(P33:AZ33)</f>
        <v>7.0000000000000007E-2</v>
      </c>
      <c r="H33" s="49">
        <f>NETWORKDAYS(D33,E33,Libur!$A$2:$A$56)</f>
        <v>4</v>
      </c>
      <c r="I33" s="48">
        <f>IF($C$8&gt;E33,100/100,IF($C$8&lt;=D33,0,(NETWORKDAYS(D33,$C$8)/NETWORKDAYS(D33,E33))))</f>
        <v>0</v>
      </c>
      <c r="J33" s="48">
        <f>I33*F33</f>
        <v>0</v>
      </c>
      <c r="K33" s="48">
        <v>0</v>
      </c>
      <c r="L33" s="48">
        <f>C33*K33</f>
        <v>0</v>
      </c>
      <c r="M33" s="48">
        <f>L33-J33</f>
        <v>0</v>
      </c>
      <c r="N33" s="51">
        <f>C33</f>
        <v>7.0000000000000007E-2</v>
      </c>
      <c r="O33" s="52">
        <f>SUM(P33:BK33)</f>
        <v>7.0000000000000007E-2</v>
      </c>
      <c r="P33" s="53">
        <f>IF(AND($D33&lt;=P$17,$E33&gt;=P$16),$C33*NETWORKDAYS(MAX($D33,P$16),MIN($E33,P$17),Libur!$A$2:$A$38)/NETWORKDAYS($D33,$E33,Libur!$A$2:$A$38),0)</f>
        <v>0</v>
      </c>
      <c r="Q33" s="53">
        <f>IF(AND($D33&lt;=Q$17,$E33&gt;=Q$16),$C33*NETWORKDAYS(MAX($D33,Q$16),MIN($E33,Q$17),Libur!$A$2:$A$38)/NETWORKDAYS($D33,$E33,Libur!$A$2:$A$38),0)</f>
        <v>0</v>
      </c>
      <c r="R33" s="53">
        <f>IF(AND($D33&lt;=R$17,$E33&gt;=R$16),$C33*NETWORKDAYS(MAX($D33,R$16),MIN($E33,R$17),Libur!$A$2:$A$38)/NETWORKDAYS($D33,$E33,Libur!$A$2:$A$38),0)</f>
        <v>0</v>
      </c>
      <c r="S33" s="53">
        <f>IF(AND($D33&lt;=S$17,$E33&gt;=S$16),$C33*NETWORKDAYS(MAX($D33,S$16),MIN($E33,S$17),Libur!$A$2:$A$38)/NETWORKDAYS($D33,$E33,Libur!$A$2:$A$38),0)</f>
        <v>1.4000000000000002E-2</v>
      </c>
      <c r="T33" s="53">
        <f>IF(AND($D33&lt;=T$17,$E33&gt;=T$16),$C33*NETWORKDAYS(MAX($D33,T$16),MIN($E33,T$17),Libur!$A$2:$A$38)/NETWORKDAYS($D33,$E33,Libur!$A$2:$A$38),0)</f>
        <v>5.6000000000000008E-2</v>
      </c>
      <c r="U33" s="53">
        <f>IF(AND($D33&lt;=U$17,$E33&gt;=U$16),$C33*NETWORKDAYS(MAX($D33,U$16),MIN($E33,U$17),Libur!$A$2:$A$38)/NETWORKDAYS($D33,$E33,Libur!$A$2:$A$38),0)</f>
        <v>0</v>
      </c>
      <c r="V33" s="53">
        <f>IF(AND($D33&lt;=V$17,$E33&gt;=V$16),$C33*NETWORKDAYS(MAX($D33,V$16),MIN($E33,V$17),Libur!$A$2:$A$38)/NETWORKDAYS($D33,$E33,Libur!$A$2:$A$38),0)</f>
        <v>0</v>
      </c>
      <c r="W33" s="53">
        <f>IF(AND($D33&lt;=W$17,$E33&gt;=W$16),$C33*NETWORKDAYS(MAX($D33,W$16),MIN($E33,W$17),Libur!$A$2:$A$38)/NETWORKDAYS($D33,$E33,Libur!$A$2:$A$38),0)</f>
        <v>0</v>
      </c>
      <c r="X33" s="53">
        <f>IF(AND($D33&lt;=X$17,$E33&gt;=X$16),$C33*NETWORKDAYS(MAX($D33,X$16),MIN($E33,X$17),Libur!$A$2:$A$38)/NETWORKDAYS($D33,$E33,Libur!$A$2:$A$38),0)</f>
        <v>0</v>
      </c>
      <c r="Y33" s="53">
        <f>IF(AND($D33&lt;=Y$17,$E33&gt;=Y$16),$C33*NETWORKDAYS(MAX($D33,Y$16),MIN($E33,Y$17),Libur!$A$2:$A$38)/NETWORKDAYS($D33,$E33,Libur!$A$2:$A$38),0)</f>
        <v>0</v>
      </c>
      <c r="Z33" s="53">
        <f>IF(AND($D33&lt;=Z$17,$E33&gt;=Z$16),$C33*NETWORKDAYS(MAX($D33,Z$16),MIN($E33,Z$17),Libur!$A$2:$A$38)/NETWORKDAYS($D33,$E33,Libur!$A$2:$A$38),0)</f>
        <v>0</v>
      </c>
      <c r="AA33" s="53">
        <f>IF(AND($D33&lt;=AA$17,$E33&gt;=AA$16),$C33*NETWORKDAYS(MAX($D33,AA$16),MIN($E33,AA$17),Libur!$A$2:$A$38)/NETWORKDAYS($D33,$E33,Libur!$A$2:$A$38),0)</f>
        <v>0</v>
      </c>
      <c r="AB33" s="53">
        <f>IF(AND($D33&lt;=AB$17,$E33&gt;=AB$16),$C33*NETWORKDAYS(MAX($D33,AB$16),MIN($E33,AB$17),Libur!$A$2:$A$38)/NETWORKDAYS($D33,$E33,Libur!$A$2:$A$38),0)</f>
        <v>0</v>
      </c>
      <c r="AC33" s="53">
        <f>IF(AND($D33&lt;=AC$17,$E33&gt;=AC$16),$C33*NETWORKDAYS(MAX($D33,AC$16),MIN($E33,AC$17),Libur!$A$2:$A$38)/NETWORKDAYS($D33,$E33,Libur!$A$2:$A$38),0)</f>
        <v>0</v>
      </c>
      <c r="AD33" s="53">
        <f>IF(AND($D33&lt;=AD$17,$E33&gt;=AD$16),$C33*NETWORKDAYS(MAX($D33,AD$16),MIN($E33,AD$17),Libur!$A$2:$A$38)/NETWORKDAYS($D33,$E33,Libur!$A$2:$A$38),0)</f>
        <v>0</v>
      </c>
      <c r="AE33" s="53">
        <f>IF(AND($D33&lt;=AE$17,$E33&gt;=AE$16),$C33*NETWORKDAYS(MAX($D33,AE$16),MIN($E33,AE$17),Libur!$A$2:$A$38)/NETWORKDAYS($D33,$E33,Libur!$A$2:$A$38),0)</f>
        <v>0</v>
      </c>
      <c r="AF33" s="53">
        <f>IF(AND($D33&lt;=AF$17,$E33&gt;=AF$16),$C33*NETWORKDAYS(MAX($D33,AF$16),MIN($E33,AF$17),Libur!$A$2:$A$38)/NETWORKDAYS($D33,$E33,Libur!$A$2:$A$38),0)</f>
        <v>0</v>
      </c>
      <c r="AG33" s="53">
        <f>IF(AND($D33&lt;=AG$17,$E33&gt;=AG$16),$C33*NETWORKDAYS(MAX($D33,AG$16),MIN($E33,AG$17),Libur!$A$2:$A$38)/NETWORKDAYS($D33,$E33,Libur!$A$2:$A$38),0)</f>
        <v>0</v>
      </c>
      <c r="AH33" s="53">
        <f>IF(AND($D33&lt;=AH$17,$E33&gt;=AH$16),$C33*NETWORKDAYS(MAX($D33,AH$16),MIN($E33,AH$17),Libur!$A$2:$A$38)/NETWORKDAYS($D33,$E33,Libur!$A$2:$A$38),0)</f>
        <v>0</v>
      </c>
      <c r="AI33" s="53">
        <f>IF(AND($D33&lt;=AI$17,$E33&gt;=AI$16),$C33*NETWORKDAYS(MAX($D33,AI$16),MIN($E33,AI$17),Libur!$A$2:$A$38)/NETWORKDAYS($D33,$E33,Libur!$A$2:$A$38),0)</f>
        <v>0</v>
      </c>
      <c r="AJ33" s="53">
        <f>IF(AND($D33&lt;=AJ$17,$E33&gt;=AJ$16),$C33*NETWORKDAYS(MAX($D33,AJ$16),MIN($E33,AJ$17),Libur!$A$2:$A$38)/NETWORKDAYS($D33,$E33,Libur!$A$2:$A$38),0)</f>
        <v>0</v>
      </c>
      <c r="AK33" s="53">
        <f>IF(AND($D33&lt;=AK$17,$E33&gt;=AK$16),$C33*NETWORKDAYS(MAX($D33,AK$16),MIN($E33,AK$17),Libur!$A$2:$A$38)/NETWORKDAYS($D33,$E33,Libur!$A$2:$A$38),0)</f>
        <v>0</v>
      </c>
      <c r="AL33" s="53">
        <f>IF(AND($D33&lt;=AL$17,$E33&gt;=AL$16),$C33*NETWORKDAYS(MAX($D33,AL$16),MIN($E33,AL$17),Libur!$A$2:$A$38)/NETWORKDAYS($D33,$E33,Libur!$A$2:$A$38),0)</f>
        <v>0</v>
      </c>
      <c r="AM33" s="53">
        <f>IF(AND($D33&lt;=AM$17,$E33&gt;=AM$16),$C33*NETWORKDAYS(MAX($D33,AM$16),MIN($E33,AM$17),Libur!$A$2:$A$38)/NETWORKDAYS($D33,$E33,Libur!$A$2:$A$38),0)</f>
        <v>0</v>
      </c>
      <c r="AN33" s="53">
        <f>IF(AND($D33&lt;=AN$17,$E33&gt;=AN$16),$C33*NETWORKDAYS(MAX($D33,AN$16),MIN($E33,AN$17),Libur!$A$2:$A$38)/NETWORKDAYS($D33,$E33,Libur!$A$2:$A$38),0)</f>
        <v>0</v>
      </c>
      <c r="AO33" s="53">
        <f>IF(AND($D33&lt;=AO$17,$E33&gt;=AO$16),$C33*NETWORKDAYS(MAX($D33,AO$16),MIN($E33,AO$17),Libur!$A$2:$A$38)/NETWORKDAYS($D33,$E33,Libur!$A$2:$A$38),0)</f>
        <v>0</v>
      </c>
      <c r="AP33" s="53">
        <f>IF(AND($D33&lt;=AP$17,$E33&gt;=AP$16),$C33*NETWORKDAYS(MAX($D33,AP$16),MIN($E33,AP$17),Libur!$A$2:$A$38)/NETWORKDAYS($D33,$E33,Libur!$A$2:$A$38),0)</f>
        <v>0</v>
      </c>
      <c r="AQ33" s="53">
        <f>IF(AND($D33&lt;=AQ$17,$E33&gt;=AQ$16),$C33*NETWORKDAYS(MAX($D33,AQ$16),MIN($E33,AQ$17),Libur!$A$2:$A$38)/NETWORKDAYS($D33,$E33,Libur!$A$2:$A$38),0)</f>
        <v>0</v>
      </c>
      <c r="AR33" s="53">
        <f>IF(AND($D33&lt;=AR$17,$E33&gt;=AR$16),$C33*NETWORKDAYS(MAX($D33,AR$16),MIN($E33,AR$17),Libur!$A$2:$A$38)/NETWORKDAYS($D33,$E33,Libur!$A$2:$A$38),0)</f>
        <v>0</v>
      </c>
      <c r="AS33" s="53">
        <f>IF(AND($D33&lt;=AS$17,$E33&gt;=AS$16),$C33*NETWORKDAYS(MAX($D33,AS$16),MIN($E33,AS$17),Libur!$A$2:$A$38)/NETWORKDAYS($D33,$E33,Libur!$A$2:$A$38),0)</f>
        <v>0</v>
      </c>
      <c r="AT33" s="53">
        <f>IF(AND($D33&lt;=AT$17,$E33&gt;=AT$16),$C33*NETWORKDAYS(MAX($D33,AT$16),MIN($E33,AT$17),Libur!$A$2:$A$38)/NETWORKDAYS($D33,$E33,Libur!$A$2:$A$38),0)</f>
        <v>0</v>
      </c>
      <c r="AU33" s="53">
        <f>IF(AND($D33&lt;=AU$17,$E33&gt;=AU$16),$C33*NETWORKDAYS(MAX($D33,AU$16),MIN($E33,AU$17),Libur!$A$2:$A$38)/NETWORKDAYS($D33,$E33,Libur!$A$2:$A$38),0)</f>
        <v>0</v>
      </c>
      <c r="AV33" s="53">
        <f>IF(AND($D33&lt;=AV$17,$E33&gt;=AV$16),$C33*NETWORKDAYS(MAX($D33,AV$16),MIN($E33,AV$17),Libur!$A$2:$A$38)/NETWORKDAYS($D33,$E33,Libur!$A$2:$A$38),0)</f>
        <v>0</v>
      </c>
      <c r="AW33" s="53">
        <f>IF(AND($D33&lt;=AW$17,$E33&gt;=AW$16),$C33*NETWORKDAYS(MAX($D33,AW$16),MIN($E33,AW$17),Libur!$A$2:$A$38)/NETWORKDAYS($D33,$E33,Libur!$A$2:$A$38),0)</f>
        <v>0</v>
      </c>
      <c r="AX33" s="53">
        <f>IF(AND($D33&lt;=AX$17,$E33&gt;=AX$16),$C33*NETWORKDAYS(MAX($D33,AX$16),MIN($E33,AX$17),Libur!$A$2:$A$38)/NETWORKDAYS($D33,$E33,Libur!$A$2:$A$38),0)</f>
        <v>0</v>
      </c>
      <c r="AY33" s="53">
        <f>IF(AND($D33&lt;=AY$17,$E33&gt;=AY$16),$C33*NETWORKDAYS(MAX($D33,AY$16),MIN($E33,AY$17),Libur!$A$2:$A$38)/NETWORKDAYS($D33,$E33,Libur!$A$2:$A$38),0)</f>
        <v>0</v>
      </c>
      <c r="AZ33" s="53">
        <f>IF(AND($D33&lt;=AZ$17,$E33&gt;=AZ$16),$C33*NETWORKDAYS(MAX($D33,AZ$16),MIN($E33,AZ$17),Libur!$A$2:$A$38)/NETWORKDAYS($D33,$E33,Libur!$A$2:$A$38),0)</f>
        <v>0</v>
      </c>
      <c r="BA33" s="53">
        <f>IF(AND($D33&lt;=BA$17,$E33&gt;=BA$16),$C33*NETWORKDAYS(MAX($D33,BA$16),MIN($E33,BA$17),Libur!$A$2:$A$38)/NETWORKDAYS($D33,$E33,Libur!$A$2:$A$38),0)</f>
        <v>0</v>
      </c>
      <c r="BB33" s="53">
        <f>IF(AND($D33&lt;=BB$17,$E33&gt;=BB$16),$C33*NETWORKDAYS(MAX($D33,BB$16),MIN($E33,BB$17),Libur!$A$2:$A$38)/NETWORKDAYS($D33,$E33,Libur!$A$2:$A$38),0)</f>
        <v>0</v>
      </c>
      <c r="BC33" s="53">
        <f>IF(AND($D33&lt;=BC$17,$E33&gt;=BC$16),$C33*NETWORKDAYS(MAX($D33,BC$16),MIN($E33,BC$17),Libur!$A$2:$A$38)/NETWORKDAYS($D33,$E33,Libur!$A$2:$A$38),0)</f>
        <v>0</v>
      </c>
      <c r="BD33" s="53">
        <f>IF(AND($D33&lt;=BD$17,$E33&gt;=BD$16),$C33*NETWORKDAYS(MAX($D33,BD$16),MIN($E33,BD$17),Libur!$A$2:$A$38)/NETWORKDAYS($D33,$E33,Libur!$A$2:$A$38),0)</f>
        <v>0</v>
      </c>
      <c r="BE33" s="53">
        <f>IF(AND($D33&lt;=BE$17,$E33&gt;=BE$16),$C33*NETWORKDAYS(MAX($D33,BE$16),MIN($E33,BE$17),Libur!$A$2:$A$38)/NETWORKDAYS($D33,$E33,Libur!$A$2:$A$38),0)</f>
        <v>0</v>
      </c>
      <c r="BF33" s="53">
        <f>IF(AND($D33&lt;=BF$17,$E33&gt;=BF$16),$C33*NETWORKDAYS(MAX($D33,BF$16),MIN($E33,BF$17),Libur!$A$2:$A$38)/NETWORKDAYS($D33,$E33,Libur!$A$2:$A$38),0)</f>
        <v>0</v>
      </c>
      <c r="BG33" s="53">
        <f>IF(AND($D33&lt;=BG$17,$E33&gt;=BG$16),$C33*NETWORKDAYS(MAX($D33,BG$16),MIN($E33,BG$17),Libur!$A$2:$A$38)/NETWORKDAYS($D33,$E33,Libur!$A$2:$A$38),0)</f>
        <v>0</v>
      </c>
      <c r="BH33" s="53">
        <f>IF(AND($D33&lt;=BH$17,$E33&gt;=BH$16),$C33*NETWORKDAYS(MAX($D33,BH$16),MIN($E33,BH$17),Libur!$A$2:$A$38)/NETWORKDAYS($D33,$E33,Libur!$A$2:$A$38),0)</f>
        <v>0</v>
      </c>
      <c r="BI33" s="53">
        <f>IF(AND($D33&lt;=BI$17,$E33&gt;=BI$16),$C33*NETWORKDAYS(MAX($D33,BI$16),MIN($E33,BI$17),Libur!$A$2:$A$38)/NETWORKDAYS($D33,$E33,Libur!$A$2:$A$38),0)</f>
        <v>0</v>
      </c>
      <c r="BJ33" s="53">
        <f>IF(AND($D33&lt;=BJ$17,$E33&gt;=BJ$16),$C33*NETWORKDAYS(MAX($D33,BJ$16),MIN($E33,BJ$17),Libur!$A$2:$A$38)/NETWORKDAYS($D33,$E33,Libur!$A$2:$A$38),0)</f>
        <v>0</v>
      </c>
      <c r="BK33" s="53">
        <f>IF(AND($D33&lt;=BK$17,$E33&gt;=BK$16),$C33*NETWORKDAYS(MAX($D33,BK$16),MIN($E33,BK$17),Libur!$A$2:$A$38)/NETWORKDAYS($D33,$E33,Libur!$A$2:$A$38),0)</f>
        <v>0</v>
      </c>
    </row>
    <row r="34" spans="1:63" x14ac:dyDescent="0.25">
      <c r="A34" s="45"/>
      <c r="B34" s="55" t="s">
        <v>86</v>
      </c>
      <c r="C34" s="48">
        <v>0.05</v>
      </c>
      <c r="D34" s="47">
        <v>46178</v>
      </c>
      <c r="E34" s="47">
        <v>46182</v>
      </c>
      <c r="F34" s="7">
        <f>C34</f>
        <v>0.05</v>
      </c>
      <c r="G34" s="48">
        <f>SUM(P34:AZ34)</f>
        <v>0.05</v>
      </c>
      <c r="H34" s="49">
        <f>NETWORKDAYS(D34,E34,Libur!$A$2:$A$56)</f>
        <v>3</v>
      </c>
      <c r="I34" s="48">
        <f>IF($C$8&gt;E34,100/100,IF($C$8&lt;=D34,0,(NETWORKDAYS(D34,$C$8)/NETWORKDAYS(D34,E34))))</f>
        <v>0</v>
      </c>
      <c r="J34" s="48">
        <f>I34*F34</f>
        <v>0</v>
      </c>
      <c r="K34" s="48">
        <v>0</v>
      </c>
      <c r="L34" s="48">
        <f>C34*K34</f>
        <v>0</v>
      </c>
      <c r="M34" s="48">
        <f>L34-J34</f>
        <v>0</v>
      </c>
      <c r="N34" s="51">
        <f>C34</f>
        <v>0.05</v>
      </c>
      <c r="O34" s="52">
        <f>SUM(P34:BK34)</f>
        <v>0.05</v>
      </c>
      <c r="P34" s="53">
        <f>IF(AND($D34&lt;=P$17,$E34&gt;=P$16),$C34*NETWORKDAYS(MAX($D34,P$16),MIN($E34,P$17),Libur!$A$2:$A$38)/NETWORKDAYS($D34,$E34,Libur!$A$2:$A$38),0)</f>
        <v>0</v>
      </c>
      <c r="Q34" s="53">
        <f>IF(AND($D34&lt;=Q$17,$E34&gt;=Q$16),$C34*NETWORKDAYS(MAX($D34,Q$16),MIN($E34,Q$17),Libur!$A$2:$A$38)/NETWORKDAYS($D34,$E34,Libur!$A$2:$A$38),0)</f>
        <v>0</v>
      </c>
      <c r="R34" s="53">
        <f>IF(AND($D34&lt;=R$17,$E34&gt;=R$16),$C34*NETWORKDAYS(MAX($D34,R$16),MIN($E34,R$17),Libur!$A$2:$A$38)/NETWORKDAYS($D34,$E34,Libur!$A$2:$A$38),0)</f>
        <v>0</v>
      </c>
      <c r="S34" s="53">
        <f>IF(AND($D34&lt;=S$17,$E34&gt;=S$16),$C34*NETWORKDAYS(MAX($D34,S$16),MIN($E34,S$17),Libur!$A$2:$A$38)/NETWORKDAYS($D34,$E34,Libur!$A$2:$A$38),0)</f>
        <v>0</v>
      </c>
      <c r="T34" s="53">
        <f>IF(AND($D34&lt;=T$17,$E34&gt;=T$16),$C34*NETWORKDAYS(MAX($D34,T$16),MIN($E34,T$17),Libur!$A$2:$A$38)/NETWORKDAYS($D34,$E34,Libur!$A$2:$A$38),0)</f>
        <v>1.6666666666666666E-2</v>
      </c>
      <c r="U34" s="53">
        <f>IF(AND($D34&lt;=U$17,$E34&gt;=U$16),$C34*NETWORKDAYS(MAX($D34,U$16),MIN($E34,U$17),Libur!$A$2:$A$38)/NETWORKDAYS($D34,$E34,Libur!$A$2:$A$38),0)</f>
        <v>3.3333333333333333E-2</v>
      </c>
      <c r="V34" s="53">
        <f>IF(AND($D34&lt;=V$17,$E34&gt;=V$16),$C34*NETWORKDAYS(MAX($D34,V$16),MIN($E34,V$17),Libur!$A$2:$A$38)/NETWORKDAYS($D34,$E34,Libur!$A$2:$A$38),0)</f>
        <v>0</v>
      </c>
      <c r="W34" s="53">
        <f>IF(AND($D34&lt;=W$17,$E34&gt;=W$16),$C34*NETWORKDAYS(MAX($D34,W$16),MIN($E34,W$17),Libur!$A$2:$A$38)/NETWORKDAYS($D34,$E34,Libur!$A$2:$A$38),0)</f>
        <v>0</v>
      </c>
      <c r="X34" s="53">
        <f>IF(AND($D34&lt;=X$17,$E34&gt;=X$16),$C34*NETWORKDAYS(MAX($D34,X$16),MIN($E34,X$17),Libur!$A$2:$A$38)/NETWORKDAYS($D34,$E34,Libur!$A$2:$A$38),0)</f>
        <v>0</v>
      </c>
      <c r="Y34" s="53">
        <f>IF(AND($D34&lt;=Y$17,$E34&gt;=Y$16),$C34*NETWORKDAYS(MAX($D34,Y$16),MIN($E34,Y$17),Libur!$A$2:$A$38)/NETWORKDAYS($D34,$E34,Libur!$A$2:$A$38),0)</f>
        <v>0</v>
      </c>
      <c r="Z34" s="53">
        <f>IF(AND($D34&lt;=Z$17,$E34&gt;=Z$16),$C34*NETWORKDAYS(MAX($D34,Z$16),MIN($E34,Z$17),Libur!$A$2:$A$38)/NETWORKDAYS($D34,$E34,Libur!$A$2:$A$38),0)</f>
        <v>0</v>
      </c>
      <c r="AA34" s="53">
        <f>IF(AND($D34&lt;=AA$17,$E34&gt;=AA$16),$C34*NETWORKDAYS(MAX($D34,AA$16),MIN($E34,AA$17),Libur!$A$2:$A$38)/NETWORKDAYS($D34,$E34,Libur!$A$2:$A$38),0)</f>
        <v>0</v>
      </c>
      <c r="AB34" s="53">
        <f>IF(AND($D34&lt;=AB$17,$E34&gt;=AB$16),$C34*NETWORKDAYS(MAX($D34,AB$16),MIN($E34,AB$17),Libur!$A$2:$A$38)/NETWORKDAYS($D34,$E34,Libur!$A$2:$A$38),0)</f>
        <v>0</v>
      </c>
      <c r="AC34" s="53">
        <f>IF(AND($D34&lt;=AC$17,$E34&gt;=AC$16),$C34*NETWORKDAYS(MAX($D34,AC$16),MIN($E34,AC$17),Libur!$A$2:$A$38)/NETWORKDAYS($D34,$E34,Libur!$A$2:$A$38),0)</f>
        <v>0</v>
      </c>
      <c r="AD34" s="53">
        <f>IF(AND($D34&lt;=AD$17,$E34&gt;=AD$16),$C34*NETWORKDAYS(MAX($D34,AD$16),MIN($E34,AD$17),Libur!$A$2:$A$38)/NETWORKDAYS($D34,$E34,Libur!$A$2:$A$38),0)</f>
        <v>0</v>
      </c>
      <c r="AE34" s="53">
        <f>IF(AND($D34&lt;=AE$17,$E34&gt;=AE$16),$C34*NETWORKDAYS(MAX($D34,AE$16),MIN($E34,AE$17),Libur!$A$2:$A$38)/NETWORKDAYS($D34,$E34,Libur!$A$2:$A$38),0)</f>
        <v>0</v>
      </c>
      <c r="AF34" s="53">
        <f>IF(AND($D34&lt;=AF$17,$E34&gt;=AF$16),$C34*NETWORKDAYS(MAX($D34,AF$16),MIN($E34,AF$17),Libur!$A$2:$A$38)/NETWORKDAYS($D34,$E34,Libur!$A$2:$A$38),0)</f>
        <v>0</v>
      </c>
      <c r="AG34" s="53">
        <f>IF(AND($D34&lt;=AG$17,$E34&gt;=AG$16),$C34*NETWORKDAYS(MAX($D34,AG$16),MIN($E34,AG$17),Libur!$A$2:$A$38)/NETWORKDAYS($D34,$E34,Libur!$A$2:$A$38),0)</f>
        <v>0</v>
      </c>
      <c r="AH34" s="53">
        <f>IF(AND($D34&lt;=AH$17,$E34&gt;=AH$16),$C34*NETWORKDAYS(MAX($D34,AH$16),MIN($E34,AH$17),Libur!$A$2:$A$38)/NETWORKDAYS($D34,$E34,Libur!$A$2:$A$38),0)</f>
        <v>0</v>
      </c>
      <c r="AI34" s="53">
        <f>IF(AND($D34&lt;=AI$17,$E34&gt;=AI$16),$C34*NETWORKDAYS(MAX($D34,AI$16),MIN($E34,AI$17),Libur!$A$2:$A$38)/NETWORKDAYS($D34,$E34,Libur!$A$2:$A$38),0)</f>
        <v>0</v>
      </c>
      <c r="AJ34" s="53">
        <f>IF(AND($D34&lt;=AJ$17,$E34&gt;=AJ$16),$C34*NETWORKDAYS(MAX($D34,AJ$16),MIN($E34,AJ$17),Libur!$A$2:$A$38)/NETWORKDAYS($D34,$E34,Libur!$A$2:$A$38),0)</f>
        <v>0</v>
      </c>
      <c r="AK34" s="53">
        <f>IF(AND($D34&lt;=AK$17,$E34&gt;=AK$16),$C34*NETWORKDAYS(MAX($D34,AK$16),MIN($E34,AK$17),Libur!$A$2:$A$38)/NETWORKDAYS($D34,$E34,Libur!$A$2:$A$38),0)</f>
        <v>0</v>
      </c>
      <c r="AL34" s="53">
        <f>IF(AND($D34&lt;=AL$17,$E34&gt;=AL$16),$C34*NETWORKDAYS(MAX($D34,AL$16),MIN($E34,AL$17),Libur!$A$2:$A$38)/NETWORKDAYS($D34,$E34,Libur!$A$2:$A$38),0)</f>
        <v>0</v>
      </c>
      <c r="AM34" s="53">
        <f>IF(AND($D34&lt;=AM$17,$E34&gt;=AM$16),$C34*NETWORKDAYS(MAX($D34,AM$16),MIN($E34,AM$17),Libur!$A$2:$A$38)/NETWORKDAYS($D34,$E34,Libur!$A$2:$A$38),0)</f>
        <v>0</v>
      </c>
      <c r="AN34" s="53">
        <f>IF(AND($D34&lt;=AN$17,$E34&gt;=AN$16),$C34*NETWORKDAYS(MAX($D34,AN$16),MIN($E34,AN$17),Libur!$A$2:$A$38)/NETWORKDAYS($D34,$E34,Libur!$A$2:$A$38),0)</f>
        <v>0</v>
      </c>
      <c r="AO34" s="53">
        <f>IF(AND($D34&lt;=AO$17,$E34&gt;=AO$16),$C34*NETWORKDAYS(MAX($D34,AO$16),MIN($E34,AO$17),Libur!$A$2:$A$38)/NETWORKDAYS($D34,$E34,Libur!$A$2:$A$38),0)</f>
        <v>0</v>
      </c>
      <c r="AP34" s="53">
        <f>IF(AND($D34&lt;=AP$17,$E34&gt;=AP$16),$C34*NETWORKDAYS(MAX($D34,AP$16),MIN($E34,AP$17),Libur!$A$2:$A$38)/NETWORKDAYS($D34,$E34,Libur!$A$2:$A$38),0)</f>
        <v>0</v>
      </c>
      <c r="AQ34" s="53">
        <f>IF(AND($D34&lt;=AQ$17,$E34&gt;=AQ$16),$C34*NETWORKDAYS(MAX($D34,AQ$16),MIN($E34,AQ$17),Libur!$A$2:$A$38)/NETWORKDAYS($D34,$E34,Libur!$A$2:$A$38),0)</f>
        <v>0</v>
      </c>
      <c r="AR34" s="53">
        <f>IF(AND($D34&lt;=AR$17,$E34&gt;=AR$16),$C34*NETWORKDAYS(MAX($D34,AR$16),MIN($E34,AR$17),Libur!$A$2:$A$38)/NETWORKDAYS($D34,$E34,Libur!$A$2:$A$38),0)</f>
        <v>0</v>
      </c>
      <c r="AS34" s="53">
        <f>IF(AND($D34&lt;=AS$17,$E34&gt;=AS$16),$C34*NETWORKDAYS(MAX($D34,AS$16),MIN($E34,AS$17),Libur!$A$2:$A$38)/NETWORKDAYS($D34,$E34,Libur!$A$2:$A$38),0)</f>
        <v>0</v>
      </c>
      <c r="AT34" s="53">
        <f>IF(AND($D34&lt;=AT$17,$E34&gt;=AT$16),$C34*NETWORKDAYS(MAX($D34,AT$16),MIN($E34,AT$17),Libur!$A$2:$A$38)/NETWORKDAYS($D34,$E34,Libur!$A$2:$A$38),0)</f>
        <v>0</v>
      </c>
      <c r="AU34" s="53">
        <f>IF(AND($D34&lt;=AU$17,$E34&gt;=AU$16),$C34*NETWORKDAYS(MAX($D34,AU$16),MIN($E34,AU$17),Libur!$A$2:$A$38)/NETWORKDAYS($D34,$E34,Libur!$A$2:$A$38),0)</f>
        <v>0</v>
      </c>
      <c r="AV34" s="53">
        <f>IF(AND($D34&lt;=AV$17,$E34&gt;=AV$16),$C34*NETWORKDAYS(MAX($D34,AV$16),MIN($E34,AV$17),Libur!$A$2:$A$38)/NETWORKDAYS($D34,$E34,Libur!$A$2:$A$38),0)</f>
        <v>0</v>
      </c>
      <c r="AW34" s="53">
        <f>IF(AND($D34&lt;=AW$17,$E34&gt;=AW$16),$C34*NETWORKDAYS(MAX($D34,AW$16),MIN($E34,AW$17),Libur!$A$2:$A$38)/NETWORKDAYS($D34,$E34,Libur!$A$2:$A$38),0)</f>
        <v>0</v>
      </c>
      <c r="AX34" s="53">
        <f>IF(AND($D34&lt;=AX$17,$E34&gt;=AX$16),$C34*NETWORKDAYS(MAX($D34,AX$16),MIN($E34,AX$17),Libur!$A$2:$A$38)/NETWORKDAYS($D34,$E34,Libur!$A$2:$A$38),0)</f>
        <v>0</v>
      </c>
      <c r="AY34" s="53">
        <f>IF(AND($D34&lt;=AY$17,$E34&gt;=AY$16),$C34*NETWORKDAYS(MAX($D34,AY$16),MIN($E34,AY$17),Libur!$A$2:$A$38)/NETWORKDAYS($D34,$E34,Libur!$A$2:$A$38),0)</f>
        <v>0</v>
      </c>
      <c r="AZ34" s="53">
        <f>IF(AND($D34&lt;=AZ$17,$E34&gt;=AZ$16),$C34*NETWORKDAYS(MAX($D34,AZ$16),MIN($E34,AZ$17),Libur!$A$2:$A$38)/NETWORKDAYS($D34,$E34,Libur!$A$2:$A$38),0)</f>
        <v>0</v>
      </c>
      <c r="BA34" s="53">
        <f>IF(AND($D34&lt;=BA$17,$E34&gt;=BA$16),$C34*NETWORKDAYS(MAX($D34,BA$16),MIN($E34,BA$17),Libur!$A$2:$A$38)/NETWORKDAYS($D34,$E34,Libur!$A$2:$A$38),0)</f>
        <v>0</v>
      </c>
      <c r="BB34" s="53">
        <f>IF(AND($D34&lt;=BB$17,$E34&gt;=BB$16),$C34*NETWORKDAYS(MAX($D34,BB$16),MIN($E34,BB$17),Libur!$A$2:$A$38)/NETWORKDAYS($D34,$E34,Libur!$A$2:$A$38),0)</f>
        <v>0</v>
      </c>
      <c r="BC34" s="53">
        <f>IF(AND($D34&lt;=BC$17,$E34&gt;=BC$16),$C34*NETWORKDAYS(MAX($D34,BC$16),MIN($E34,BC$17),Libur!$A$2:$A$38)/NETWORKDAYS($D34,$E34,Libur!$A$2:$A$38),0)</f>
        <v>0</v>
      </c>
      <c r="BD34" s="53">
        <f>IF(AND($D34&lt;=BD$17,$E34&gt;=BD$16),$C34*NETWORKDAYS(MAX($D34,BD$16),MIN($E34,BD$17),Libur!$A$2:$A$38)/NETWORKDAYS($D34,$E34,Libur!$A$2:$A$38),0)</f>
        <v>0</v>
      </c>
      <c r="BE34" s="53">
        <f>IF(AND($D34&lt;=BE$17,$E34&gt;=BE$16),$C34*NETWORKDAYS(MAX($D34,BE$16),MIN($E34,BE$17),Libur!$A$2:$A$38)/NETWORKDAYS($D34,$E34,Libur!$A$2:$A$38),0)</f>
        <v>0</v>
      </c>
      <c r="BF34" s="53">
        <f>IF(AND($D34&lt;=BF$17,$E34&gt;=BF$16),$C34*NETWORKDAYS(MAX($D34,BF$16),MIN($E34,BF$17),Libur!$A$2:$A$38)/NETWORKDAYS($D34,$E34,Libur!$A$2:$A$38),0)</f>
        <v>0</v>
      </c>
      <c r="BG34" s="53">
        <f>IF(AND($D34&lt;=BG$17,$E34&gt;=BG$16),$C34*NETWORKDAYS(MAX($D34,BG$16),MIN($E34,BG$17),Libur!$A$2:$A$38)/NETWORKDAYS($D34,$E34,Libur!$A$2:$A$38),0)</f>
        <v>0</v>
      </c>
      <c r="BH34" s="53">
        <f>IF(AND($D34&lt;=BH$17,$E34&gt;=BH$16),$C34*NETWORKDAYS(MAX($D34,BH$16),MIN($E34,BH$17),Libur!$A$2:$A$38)/NETWORKDAYS($D34,$E34,Libur!$A$2:$A$38),0)</f>
        <v>0</v>
      </c>
      <c r="BI34" s="53">
        <f>IF(AND($D34&lt;=BI$17,$E34&gt;=BI$16),$C34*NETWORKDAYS(MAX($D34,BI$16),MIN($E34,BI$17),Libur!$A$2:$A$38)/NETWORKDAYS($D34,$E34,Libur!$A$2:$A$38),0)</f>
        <v>0</v>
      </c>
      <c r="BJ34" s="53">
        <f>IF(AND($D34&lt;=BJ$17,$E34&gt;=BJ$16),$C34*NETWORKDAYS(MAX($D34,BJ$16),MIN($E34,BJ$17),Libur!$A$2:$A$38)/NETWORKDAYS($D34,$E34,Libur!$A$2:$A$38),0)</f>
        <v>0</v>
      </c>
      <c r="BK34" s="53">
        <f>IF(AND($D34&lt;=BK$17,$E34&gt;=BK$16),$C34*NETWORKDAYS(MAX($D34,BK$16),MIN($E34,BK$17),Libur!$A$2:$A$38)/NETWORKDAYS($D34,$E34,Libur!$A$2:$A$38),0)</f>
        <v>0</v>
      </c>
    </row>
    <row r="35" spans="1:63" x14ac:dyDescent="0.25">
      <c r="A35" s="45"/>
      <c r="B35" s="55" t="s">
        <v>87</v>
      </c>
      <c r="C35" s="48">
        <v>0.03</v>
      </c>
      <c r="D35" s="47">
        <v>46183</v>
      </c>
      <c r="E35" s="47">
        <v>46184</v>
      </c>
      <c r="F35" s="7">
        <f>C35</f>
        <v>0.03</v>
      </c>
      <c r="G35" s="48">
        <f>SUM(P35:AZ35)</f>
        <v>0.03</v>
      </c>
      <c r="H35" s="49">
        <f>NETWORKDAYS(D35,E35,Libur!$A$2:$A$56)</f>
        <v>2</v>
      </c>
      <c r="I35" s="48">
        <f>IF($C$8&gt;E35,100/100,IF($C$8&lt;=D35,0,(NETWORKDAYS(D35,$C$8)/NETWORKDAYS(D35,E35))))</f>
        <v>0</v>
      </c>
      <c r="J35" s="48">
        <f>I35*F35</f>
        <v>0</v>
      </c>
      <c r="K35" s="48">
        <v>0</v>
      </c>
      <c r="L35" s="48">
        <f>C35*K35</f>
        <v>0</v>
      </c>
      <c r="M35" s="48">
        <f>L35-J35</f>
        <v>0</v>
      </c>
      <c r="N35" s="51">
        <f>C35</f>
        <v>0.03</v>
      </c>
      <c r="O35" s="52">
        <f>SUM(P35:BK35)</f>
        <v>0.03</v>
      </c>
      <c r="P35" s="53">
        <f>IF(AND($D35&lt;=P$17,$E35&gt;=P$16),$C35*NETWORKDAYS(MAX($D35,P$16),MIN($E35,P$17),Libur!$A$2:$A$38)/NETWORKDAYS($D35,$E35,Libur!$A$2:$A$38),0)</f>
        <v>0</v>
      </c>
      <c r="Q35" s="53">
        <f>IF(AND($D35&lt;=Q$17,$E35&gt;=Q$16),$C35*NETWORKDAYS(MAX($D35,Q$16),MIN($E35,Q$17),Libur!$A$2:$A$38)/NETWORKDAYS($D35,$E35,Libur!$A$2:$A$38),0)</f>
        <v>0</v>
      </c>
      <c r="R35" s="53">
        <f>IF(AND($D35&lt;=R$17,$E35&gt;=R$16),$C35*NETWORKDAYS(MAX($D35,R$16),MIN($E35,R$17),Libur!$A$2:$A$38)/NETWORKDAYS($D35,$E35,Libur!$A$2:$A$38),0)</f>
        <v>0</v>
      </c>
      <c r="S35" s="53">
        <f>IF(AND($D35&lt;=S$17,$E35&gt;=S$16),$C35*NETWORKDAYS(MAX($D35,S$16),MIN($E35,S$17),Libur!$A$2:$A$38)/NETWORKDAYS($D35,$E35,Libur!$A$2:$A$38),0)</f>
        <v>0</v>
      </c>
      <c r="T35" s="53">
        <f>IF(AND($D35&lt;=T$17,$E35&gt;=T$16),$C35*NETWORKDAYS(MAX($D35,T$16),MIN($E35,T$17),Libur!$A$2:$A$38)/NETWORKDAYS($D35,$E35,Libur!$A$2:$A$38),0)</f>
        <v>0</v>
      </c>
      <c r="U35" s="53">
        <f>IF(AND($D35&lt;=U$17,$E35&gt;=U$16),$C35*NETWORKDAYS(MAX($D35,U$16),MIN($E35,U$17),Libur!$A$2:$A$38)/NETWORKDAYS($D35,$E35,Libur!$A$2:$A$38),0)</f>
        <v>0.03</v>
      </c>
      <c r="V35" s="53">
        <f>IF(AND($D35&lt;=V$17,$E35&gt;=V$16),$C35*NETWORKDAYS(MAX($D35,V$16),MIN($E35,V$17),Libur!$A$2:$A$38)/NETWORKDAYS($D35,$E35,Libur!$A$2:$A$38),0)</f>
        <v>0</v>
      </c>
      <c r="W35" s="53">
        <f>IF(AND($D35&lt;=W$17,$E35&gt;=W$16),$C35*NETWORKDAYS(MAX($D35,W$16),MIN($E35,W$17),Libur!$A$2:$A$38)/NETWORKDAYS($D35,$E35,Libur!$A$2:$A$38),0)</f>
        <v>0</v>
      </c>
      <c r="X35" s="53">
        <f>IF(AND($D35&lt;=X$17,$E35&gt;=X$16),$C35*NETWORKDAYS(MAX($D35,X$16),MIN($E35,X$17),Libur!$A$2:$A$38)/NETWORKDAYS($D35,$E35,Libur!$A$2:$A$38),0)</f>
        <v>0</v>
      </c>
      <c r="Y35" s="53">
        <f>IF(AND($D35&lt;=Y$17,$E35&gt;=Y$16),$C35*NETWORKDAYS(MAX($D35,Y$16),MIN($E35,Y$17),Libur!$A$2:$A$38)/NETWORKDAYS($D35,$E35,Libur!$A$2:$A$38),0)</f>
        <v>0</v>
      </c>
      <c r="Z35" s="53">
        <f>IF(AND($D35&lt;=Z$17,$E35&gt;=Z$16),$C35*NETWORKDAYS(MAX($D35,Z$16),MIN($E35,Z$17),Libur!$A$2:$A$38)/NETWORKDAYS($D35,$E35,Libur!$A$2:$A$38),0)</f>
        <v>0</v>
      </c>
      <c r="AA35" s="53">
        <f>IF(AND($D35&lt;=AA$17,$E35&gt;=AA$16),$C35*NETWORKDAYS(MAX($D35,AA$16),MIN($E35,AA$17),Libur!$A$2:$A$38)/NETWORKDAYS($D35,$E35,Libur!$A$2:$A$38),0)</f>
        <v>0</v>
      </c>
      <c r="AB35" s="53">
        <f>IF(AND($D35&lt;=AB$17,$E35&gt;=AB$16),$C35*NETWORKDAYS(MAX($D35,AB$16),MIN($E35,AB$17),Libur!$A$2:$A$38)/NETWORKDAYS($D35,$E35,Libur!$A$2:$A$38),0)</f>
        <v>0</v>
      </c>
      <c r="AC35" s="53">
        <f>IF(AND($D35&lt;=AC$17,$E35&gt;=AC$16),$C35*NETWORKDAYS(MAX($D35,AC$16),MIN($E35,AC$17),Libur!$A$2:$A$38)/NETWORKDAYS($D35,$E35,Libur!$A$2:$A$38),0)</f>
        <v>0</v>
      </c>
      <c r="AD35" s="53">
        <f>IF(AND($D35&lt;=AD$17,$E35&gt;=AD$16),$C35*NETWORKDAYS(MAX($D35,AD$16),MIN($E35,AD$17),Libur!$A$2:$A$38)/NETWORKDAYS($D35,$E35,Libur!$A$2:$A$38),0)</f>
        <v>0</v>
      </c>
      <c r="AE35" s="53">
        <f>IF(AND($D35&lt;=AE$17,$E35&gt;=AE$16),$C35*NETWORKDAYS(MAX($D35,AE$16),MIN($E35,AE$17),Libur!$A$2:$A$38)/NETWORKDAYS($D35,$E35,Libur!$A$2:$A$38),0)</f>
        <v>0</v>
      </c>
      <c r="AF35" s="53">
        <f>IF(AND($D35&lt;=AF$17,$E35&gt;=AF$16),$C35*NETWORKDAYS(MAX($D35,AF$16),MIN($E35,AF$17),Libur!$A$2:$A$38)/NETWORKDAYS($D35,$E35,Libur!$A$2:$A$38),0)</f>
        <v>0</v>
      </c>
      <c r="AG35" s="53">
        <f>IF(AND($D35&lt;=AG$17,$E35&gt;=AG$16),$C35*NETWORKDAYS(MAX($D35,AG$16),MIN($E35,AG$17),Libur!$A$2:$A$38)/NETWORKDAYS($D35,$E35,Libur!$A$2:$A$38),0)</f>
        <v>0</v>
      </c>
      <c r="AH35" s="53">
        <f>IF(AND($D35&lt;=AH$17,$E35&gt;=AH$16),$C35*NETWORKDAYS(MAX($D35,AH$16),MIN($E35,AH$17),Libur!$A$2:$A$38)/NETWORKDAYS($D35,$E35,Libur!$A$2:$A$38),0)</f>
        <v>0</v>
      </c>
      <c r="AI35" s="53">
        <f>IF(AND($D35&lt;=AI$17,$E35&gt;=AI$16),$C35*NETWORKDAYS(MAX($D35,AI$16),MIN($E35,AI$17),Libur!$A$2:$A$38)/NETWORKDAYS($D35,$E35,Libur!$A$2:$A$38),0)</f>
        <v>0</v>
      </c>
      <c r="AJ35" s="53">
        <f>IF(AND($D35&lt;=AJ$17,$E35&gt;=AJ$16),$C35*NETWORKDAYS(MAX($D35,AJ$16),MIN($E35,AJ$17),Libur!$A$2:$A$38)/NETWORKDAYS($D35,$E35,Libur!$A$2:$A$38),0)</f>
        <v>0</v>
      </c>
      <c r="AK35" s="53">
        <f>IF(AND($D35&lt;=AK$17,$E35&gt;=AK$16),$C35*NETWORKDAYS(MAX($D35,AK$16),MIN($E35,AK$17),Libur!$A$2:$A$38)/NETWORKDAYS($D35,$E35,Libur!$A$2:$A$38),0)</f>
        <v>0</v>
      </c>
      <c r="AL35" s="53">
        <f>IF(AND($D35&lt;=AL$17,$E35&gt;=AL$16),$C35*NETWORKDAYS(MAX($D35,AL$16),MIN($E35,AL$17),Libur!$A$2:$A$38)/NETWORKDAYS($D35,$E35,Libur!$A$2:$A$38),0)</f>
        <v>0</v>
      </c>
      <c r="AM35" s="53">
        <f>IF(AND($D35&lt;=AM$17,$E35&gt;=AM$16),$C35*NETWORKDAYS(MAX($D35,AM$16),MIN($E35,AM$17),Libur!$A$2:$A$38)/NETWORKDAYS($D35,$E35,Libur!$A$2:$A$38),0)</f>
        <v>0</v>
      </c>
      <c r="AN35" s="53">
        <f>IF(AND($D35&lt;=AN$17,$E35&gt;=AN$16),$C35*NETWORKDAYS(MAX($D35,AN$16),MIN($E35,AN$17),Libur!$A$2:$A$38)/NETWORKDAYS($D35,$E35,Libur!$A$2:$A$38),0)</f>
        <v>0</v>
      </c>
      <c r="AO35" s="53">
        <f>IF(AND($D35&lt;=AO$17,$E35&gt;=AO$16),$C35*NETWORKDAYS(MAX($D35,AO$16),MIN($E35,AO$17),Libur!$A$2:$A$38)/NETWORKDAYS($D35,$E35,Libur!$A$2:$A$38),0)</f>
        <v>0</v>
      </c>
      <c r="AP35" s="53">
        <f>IF(AND($D35&lt;=AP$17,$E35&gt;=AP$16),$C35*NETWORKDAYS(MAX($D35,AP$16),MIN($E35,AP$17),Libur!$A$2:$A$38)/NETWORKDAYS($D35,$E35,Libur!$A$2:$A$38),0)</f>
        <v>0</v>
      </c>
      <c r="AQ35" s="53">
        <f>IF(AND($D35&lt;=AQ$17,$E35&gt;=AQ$16),$C35*NETWORKDAYS(MAX($D35,AQ$16),MIN($E35,AQ$17),Libur!$A$2:$A$38)/NETWORKDAYS($D35,$E35,Libur!$A$2:$A$38),0)</f>
        <v>0</v>
      </c>
      <c r="AR35" s="53">
        <f>IF(AND($D35&lt;=AR$17,$E35&gt;=AR$16),$C35*NETWORKDAYS(MAX($D35,AR$16),MIN($E35,AR$17),Libur!$A$2:$A$38)/NETWORKDAYS($D35,$E35,Libur!$A$2:$A$38),0)</f>
        <v>0</v>
      </c>
      <c r="AS35" s="53">
        <f>IF(AND($D35&lt;=AS$17,$E35&gt;=AS$16),$C35*NETWORKDAYS(MAX($D35,AS$16),MIN($E35,AS$17),Libur!$A$2:$A$38)/NETWORKDAYS($D35,$E35,Libur!$A$2:$A$38),0)</f>
        <v>0</v>
      </c>
      <c r="AT35" s="53">
        <f>IF(AND($D35&lt;=AT$17,$E35&gt;=AT$16),$C35*NETWORKDAYS(MAX($D35,AT$16),MIN($E35,AT$17),Libur!$A$2:$A$38)/NETWORKDAYS($D35,$E35,Libur!$A$2:$A$38),0)</f>
        <v>0</v>
      </c>
      <c r="AU35" s="53">
        <f>IF(AND($D35&lt;=AU$17,$E35&gt;=AU$16),$C35*NETWORKDAYS(MAX($D35,AU$16),MIN($E35,AU$17),Libur!$A$2:$A$38)/NETWORKDAYS($D35,$E35,Libur!$A$2:$A$38),0)</f>
        <v>0</v>
      </c>
      <c r="AV35" s="53">
        <f>IF(AND($D35&lt;=AV$17,$E35&gt;=AV$16),$C35*NETWORKDAYS(MAX($D35,AV$16),MIN($E35,AV$17),Libur!$A$2:$A$38)/NETWORKDAYS($D35,$E35,Libur!$A$2:$A$38),0)</f>
        <v>0</v>
      </c>
      <c r="AW35" s="53">
        <f>IF(AND($D35&lt;=AW$17,$E35&gt;=AW$16),$C35*NETWORKDAYS(MAX($D35,AW$16),MIN($E35,AW$17),Libur!$A$2:$A$38)/NETWORKDAYS($D35,$E35,Libur!$A$2:$A$38),0)</f>
        <v>0</v>
      </c>
      <c r="AX35" s="53">
        <f>IF(AND($D35&lt;=AX$17,$E35&gt;=AX$16),$C35*NETWORKDAYS(MAX($D35,AX$16),MIN($E35,AX$17),Libur!$A$2:$A$38)/NETWORKDAYS($D35,$E35,Libur!$A$2:$A$38),0)</f>
        <v>0</v>
      </c>
      <c r="AY35" s="53">
        <f>IF(AND($D35&lt;=AY$17,$E35&gt;=AY$16),$C35*NETWORKDAYS(MAX($D35,AY$16),MIN($E35,AY$17),Libur!$A$2:$A$38)/NETWORKDAYS($D35,$E35,Libur!$A$2:$A$38),0)</f>
        <v>0</v>
      </c>
      <c r="AZ35" s="53">
        <f>IF(AND($D35&lt;=AZ$17,$E35&gt;=AZ$16),$C35*NETWORKDAYS(MAX($D35,AZ$16),MIN($E35,AZ$17),Libur!$A$2:$A$38)/NETWORKDAYS($D35,$E35,Libur!$A$2:$A$38),0)</f>
        <v>0</v>
      </c>
      <c r="BA35" s="53">
        <f>IF(AND($D35&lt;=BA$17,$E35&gt;=BA$16),$C35*NETWORKDAYS(MAX($D35,BA$16),MIN($E35,BA$17),Libur!$A$2:$A$38)/NETWORKDAYS($D35,$E35,Libur!$A$2:$A$38),0)</f>
        <v>0</v>
      </c>
      <c r="BB35" s="53">
        <f>IF(AND($D35&lt;=BB$17,$E35&gt;=BB$16),$C35*NETWORKDAYS(MAX($D35,BB$16),MIN($E35,BB$17),Libur!$A$2:$A$38)/NETWORKDAYS($D35,$E35,Libur!$A$2:$A$38),0)</f>
        <v>0</v>
      </c>
      <c r="BC35" s="53">
        <f>IF(AND($D35&lt;=BC$17,$E35&gt;=BC$16),$C35*NETWORKDAYS(MAX($D35,BC$16),MIN($E35,BC$17),Libur!$A$2:$A$38)/NETWORKDAYS($D35,$E35,Libur!$A$2:$A$38),0)</f>
        <v>0</v>
      </c>
      <c r="BD35" s="53">
        <f>IF(AND($D35&lt;=BD$17,$E35&gt;=BD$16),$C35*NETWORKDAYS(MAX($D35,BD$16),MIN($E35,BD$17),Libur!$A$2:$A$38)/NETWORKDAYS($D35,$E35,Libur!$A$2:$A$38),0)</f>
        <v>0</v>
      </c>
      <c r="BE35" s="53">
        <f>IF(AND($D35&lt;=BE$17,$E35&gt;=BE$16),$C35*NETWORKDAYS(MAX($D35,BE$16),MIN($E35,BE$17),Libur!$A$2:$A$38)/NETWORKDAYS($D35,$E35,Libur!$A$2:$A$38),0)</f>
        <v>0</v>
      </c>
      <c r="BF35" s="53">
        <f>IF(AND($D35&lt;=BF$17,$E35&gt;=BF$16),$C35*NETWORKDAYS(MAX($D35,BF$16),MIN($E35,BF$17),Libur!$A$2:$A$38)/NETWORKDAYS($D35,$E35,Libur!$A$2:$A$38),0)</f>
        <v>0</v>
      </c>
      <c r="BG35" s="53">
        <f>IF(AND($D35&lt;=BG$17,$E35&gt;=BG$16),$C35*NETWORKDAYS(MAX($D35,BG$16),MIN($E35,BG$17),Libur!$A$2:$A$38)/NETWORKDAYS($D35,$E35,Libur!$A$2:$A$38),0)</f>
        <v>0</v>
      </c>
      <c r="BH35" s="53">
        <f>IF(AND($D35&lt;=BH$17,$E35&gt;=BH$16),$C35*NETWORKDAYS(MAX($D35,BH$16),MIN($E35,BH$17),Libur!$A$2:$A$38)/NETWORKDAYS($D35,$E35,Libur!$A$2:$A$38),0)</f>
        <v>0</v>
      </c>
      <c r="BI35" s="53">
        <f>IF(AND($D35&lt;=BI$17,$E35&gt;=BI$16),$C35*NETWORKDAYS(MAX($D35,BI$16),MIN($E35,BI$17),Libur!$A$2:$A$38)/NETWORKDAYS($D35,$E35,Libur!$A$2:$A$38),0)</f>
        <v>0</v>
      </c>
      <c r="BJ35" s="53">
        <f>IF(AND($D35&lt;=BJ$17,$E35&gt;=BJ$16),$C35*NETWORKDAYS(MAX($D35,BJ$16),MIN($E35,BJ$17),Libur!$A$2:$A$38)/NETWORKDAYS($D35,$E35,Libur!$A$2:$A$38),0)</f>
        <v>0</v>
      </c>
      <c r="BK35" s="53">
        <f>IF(AND($D35&lt;=BK$17,$E35&gt;=BK$16),$C35*NETWORKDAYS(MAX($D35,BK$16),MIN($E35,BK$17),Libur!$A$2:$A$38)/NETWORKDAYS($D35,$E35,Libur!$A$2:$A$38),0)</f>
        <v>0</v>
      </c>
    </row>
    <row r="36" spans="1:63" x14ac:dyDescent="0.25">
      <c r="A36" s="45"/>
      <c r="B36" s="55" t="s">
        <v>88</v>
      </c>
      <c r="C36" s="48">
        <v>0.05</v>
      </c>
      <c r="D36" s="47">
        <v>46184</v>
      </c>
      <c r="E36" s="47">
        <v>46184</v>
      </c>
      <c r="F36" s="7">
        <f>C36</f>
        <v>0.05</v>
      </c>
      <c r="G36" s="48">
        <f>SUM(P36:AZ36)</f>
        <v>0.05</v>
      </c>
      <c r="H36" s="49">
        <f>NETWORKDAYS(D36,E36,Libur!$A$2:$A$56)</f>
        <v>1</v>
      </c>
      <c r="I36" s="48">
        <f>IF($C$8&gt;E36,100/100,IF($C$8&lt;=D36,0,(NETWORKDAYS(D36,$C$8)/NETWORKDAYS(D36,E36))))</f>
        <v>0</v>
      </c>
      <c r="J36" s="48">
        <f>I36*F36</f>
        <v>0</v>
      </c>
      <c r="K36" s="48">
        <v>0</v>
      </c>
      <c r="L36" s="48">
        <f>C36*K36</f>
        <v>0</v>
      </c>
      <c r="M36" s="48">
        <f>L36-J36</f>
        <v>0</v>
      </c>
      <c r="N36" s="51">
        <f>C36</f>
        <v>0.05</v>
      </c>
      <c r="O36" s="52">
        <f>SUM(P36:BK36)</f>
        <v>0.05</v>
      </c>
      <c r="P36" s="53">
        <f>IF(AND($D36&lt;=P$17,$E36&gt;=P$16),$C36*NETWORKDAYS(MAX($D36,P$16),MIN($E36,P$17),Libur!$A$2:$A$38)/NETWORKDAYS($D36,$E36,Libur!$A$2:$A$38),0)</f>
        <v>0</v>
      </c>
      <c r="Q36" s="53">
        <f>IF(AND($D36&lt;=Q$17,$E36&gt;=Q$16),$C36*NETWORKDAYS(MAX($D36,Q$16),MIN($E36,Q$17),Libur!$A$2:$A$38)/NETWORKDAYS($D36,$E36,Libur!$A$2:$A$38),0)</f>
        <v>0</v>
      </c>
      <c r="R36" s="53">
        <f>IF(AND($D36&lt;=R$17,$E36&gt;=R$16),$C36*NETWORKDAYS(MAX($D36,R$16),MIN($E36,R$17),Libur!$A$2:$A$38)/NETWORKDAYS($D36,$E36,Libur!$A$2:$A$38),0)</f>
        <v>0</v>
      </c>
      <c r="S36" s="53">
        <f>IF(AND($D36&lt;=S$17,$E36&gt;=S$16),$C36*NETWORKDAYS(MAX($D36,S$16),MIN($E36,S$17),Libur!$A$2:$A$38)/NETWORKDAYS($D36,$E36,Libur!$A$2:$A$38),0)</f>
        <v>0</v>
      </c>
      <c r="T36" s="53">
        <f>IF(AND($D36&lt;=T$17,$E36&gt;=T$16),$C36*NETWORKDAYS(MAX($D36,T$16),MIN($E36,T$17),Libur!$A$2:$A$38)/NETWORKDAYS($D36,$E36,Libur!$A$2:$A$38),0)</f>
        <v>0</v>
      </c>
      <c r="U36" s="53">
        <f>IF(AND($D36&lt;=U$17,$E36&gt;=U$16),$C36*NETWORKDAYS(MAX($D36,U$16),MIN($E36,U$17),Libur!$A$2:$A$38)/NETWORKDAYS($D36,$E36,Libur!$A$2:$A$38),0)</f>
        <v>0.05</v>
      </c>
      <c r="V36" s="53">
        <f>IF(AND($D36&lt;=V$17,$E36&gt;=V$16),$C36*NETWORKDAYS(MAX($D36,V$16),MIN($E36,V$17),Libur!$A$2:$A$38)/NETWORKDAYS($D36,$E36,Libur!$A$2:$A$38),0)</f>
        <v>0</v>
      </c>
      <c r="W36" s="53">
        <f>IF(AND($D36&lt;=W$17,$E36&gt;=W$16),$C36*NETWORKDAYS(MAX($D36,W$16),MIN($E36,W$17),Libur!$A$2:$A$38)/NETWORKDAYS($D36,$E36,Libur!$A$2:$A$38),0)</f>
        <v>0</v>
      </c>
      <c r="X36" s="53">
        <f>IF(AND($D36&lt;=X$17,$E36&gt;=X$16),$C36*NETWORKDAYS(MAX($D36,X$16),MIN($E36,X$17),Libur!$A$2:$A$38)/NETWORKDAYS($D36,$E36,Libur!$A$2:$A$38),0)</f>
        <v>0</v>
      </c>
      <c r="Y36" s="53">
        <f>IF(AND($D36&lt;=Y$17,$E36&gt;=Y$16),$C36*NETWORKDAYS(MAX($D36,Y$16),MIN($E36,Y$17),Libur!$A$2:$A$38)/NETWORKDAYS($D36,$E36,Libur!$A$2:$A$38),0)</f>
        <v>0</v>
      </c>
      <c r="Z36" s="53">
        <f>IF(AND($D36&lt;=Z$17,$E36&gt;=Z$16),$C36*NETWORKDAYS(MAX($D36,Z$16),MIN($E36,Z$17),Libur!$A$2:$A$38)/NETWORKDAYS($D36,$E36,Libur!$A$2:$A$38),0)</f>
        <v>0</v>
      </c>
      <c r="AA36" s="53">
        <f>IF(AND($D36&lt;=AA$17,$E36&gt;=AA$16),$C36*NETWORKDAYS(MAX($D36,AA$16),MIN($E36,AA$17),Libur!$A$2:$A$38)/NETWORKDAYS($D36,$E36,Libur!$A$2:$A$38),0)</f>
        <v>0</v>
      </c>
      <c r="AB36" s="53">
        <f>IF(AND($D36&lt;=AB$17,$E36&gt;=AB$16),$C36*NETWORKDAYS(MAX($D36,AB$16),MIN($E36,AB$17),Libur!$A$2:$A$38)/NETWORKDAYS($D36,$E36,Libur!$A$2:$A$38),0)</f>
        <v>0</v>
      </c>
      <c r="AC36" s="53">
        <f>IF(AND($D36&lt;=AC$17,$E36&gt;=AC$16),$C36*NETWORKDAYS(MAX($D36,AC$16),MIN($E36,AC$17),Libur!$A$2:$A$38)/NETWORKDAYS($D36,$E36,Libur!$A$2:$A$38),0)</f>
        <v>0</v>
      </c>
      <c r="AD36" s="53">
        <f>IF(AND($D36&lt;=AD$17,$E36&gt;=AD$16),$C36*NETWORKDAYS(MAX($D36,AD$16),MIN($E36,AD$17),Libur!$A$2:$A$38)/NETWORKDAYS($D36,$E36,Libur!$A$2:$A$38),0)</f>
        <v>0</v>
      </c>
      <c r="AE36" s="53">
        <f>IF(AND($D36&lt;=AE$17,$E36&gt;=AE$16),$C36*NETWORKDAYS(MAX($D36,AE$16),MIN($E36,AE$17),Libur!$A$2:$A$38)/NETWORKDAYS($D36,$E36,Libur!$A$2:$A$38),0)</f>
        <v>0</v>
      </c>
      <c r="AF36" s="53">
        <f>IF(AND($D36&lt;=AF$17,$E36&gt;=AF$16),$C36*NETWORKDAYS(MAX($D36,AF$16),MIN($E36,AF$17),Libur!$A$2:$A$38)/NETWORKDAYS($D36,$E36,Libur!$A$2:$A$38),0)</f>
        <v>0</v>
      </c>
      <c r="AG36" s="53">
        <f>IF(AND($D36&lt;=AG$17,$E36&gt;=AG$16),$C36*NETWORKDAYS(MAX($D36,AG$16),MIN($E36,AG$17),Libur!$A$2:$A$38)/NETWORKDAYS($D36,$E36,Libur!$A$2:$A$38),0)</f>
        <v>0</v>
      </c>
      <c r="AH36" s="53">
        <f>IF(AND($D36&lt;=AH$17,$E36&gt;=AH$16),$C36*NETWORKDAYS(MAX($D36,AH$16),MIN($E36,AH$17),Libur!$A$2:$A$38)/NETWORKDAYS($D36,$E36,Libur!$A$2:$A$38),0)</f>
        <v>0</v>
      </c>
      <c r="AI36" s="53">
        <f>IF(AND($D36&lt;=AI$17,$E36&gt;=AI$16),$C36*NETWORKDAYS(MAX($D36,AI$16),MIN($E36,AI$17),Libur!$A$2:$A$38)/NETWORKDAYS($D36,$E36,Libur!$A$2:$A$38),0)</f>
        <v>0</v>
      </c>
      <c r="AJ36" s="53">
        <f>IF(AND($D36&lt;=AJ$17,$E36&gt;=AJ$16),$C36*NETWORKDAYS(MAX($D36,AJ$16),MIN($E36,AJ$17),Libur!$A$2:$A$38)/NETWORKDAYS($D36,$E36,Libur!$A$2:$A$38),0)</f>
        <v>0</v>
      </c>
      <c r="AK36" s="53">
        <f>IF(AND($D36&lt;=AK$17,$E36&gt;=AK$16),$C36*NETWORKDAYS(MAX($D36,AK$16),MIN($E36,AK$17),Libur!$A$2:$A$38)/NETWORKDAYS($D36,$E36,Libur!$A$2:$A$38),0)</f>
        <v>0</v>
      </c>
      <c r="AL36" s="53">
        <f>IF(AND($D36&lt;=AL$17,$E36&gt;=AL$16),$C36*NETWORKDAYS(MAX($D36,AL$16),MIN($E36,AL$17),Libur!$A$2:$A$38)/NETWORKDAYS($D36,$E36,Libur!$A$2:$A$38),0)</f>
        <v>0</v>
      </c>
      <c r="AM36" s="53">
        <f>IF(AND($D36&lt;=AM$17,$E36&gt;=AM$16),$C36*NETWORKDAYS(MAX($D36,AM$16),MIN($E36,AM$17),Libur!$A$2:$A$38)/NETWORKDAYS($D36,$E36,Libur!$A$2:$A$38),0)</f>
        <v>0</v>
      </c>
      <c r="AN36" s="53">
        <f>IF(AND($D36&lt;=AN$17,$E36&gt;=AN$16),$C36*NETWORKDAYS(MAX($D36,AN$16),MIN($E36,AN$17),Libur!$A$2:$A$38)/NETWORKDAYS($D36,$E36,Libur!$A$2:$A$38),0)</f>
        <v>0</v>
      </c>
      <c r="AO36" s="53">
        <f>IF(AND($D36&lt;=AO$17,$E36&gt;=AO$16),$C36*NETWORKDAYS(MAX($D36,AO$16),MIN($E36,AO$17),Libur!$A$2:$A$38)/NETWORKDAYS($D36,$E36,Libur!$A$2:$A$38),0)</f>
        <v>0</v>
      </c>
      <c r="AP36" s="53">
        <f>IF(AND($D36&lt;=AP$17,$E36&gt;=AP$16),$C36*NETWORKDAYS(MAX($D36,AP$16),MIN($E36,AP$17),Libur!$A$2:$A$38)/NETWORKDAYS($D36,$E36,Libur!$A$2:$A$38),0)</f>
        <v>0</v>
      </c>
      <c r="AQ36" s="53">
        <f>IF(AND($D36&lt;=AQ$17,$E36&gt;=AQ$16),$C36*NETWORKDAYS(MAX($D36,AQ$16),MIN($E36,AQ$17),Libur!$A$2:$A$38)/NETWORKDAYS($D36,$E36,Libur!$A$2:$A$38),0)</f>
        <v>0</v>
      </c>
      <c r="AR36" s="53">
        <f>IF(AND($D36&lt;=AR$17,$E36&gt;=AR$16),$C36*NETWORKDAYS(MAX($D36,AR$16),MIN($E36,AR$17),Libur!$A$2:$A$38)/NETWORKDAYS($D36,$E36,Libur!$A$2:$A$38),0)</f>
        <v>0</v>
      </c>
      <c r="AS36" s="53">
        <f>IF(AND($D36&lt;=AS$17,$E36&gt;=AS$16),$C36*NETWORKDAYS(MAX($D36,AS$16),MIN($E36,AS$17),Libur!$A$2:$A$38)/NETWORKDAYS($D36,$E36,Libur!$A$2:$A$38),0)</f>
        <v>0</v>
      </c>
      <c r="AT36" s="53">
        <f>IF(AND($D36&lt;=AT$17,$E36&gt;=AT$16),$C36*NETWORKDAYS(MAX($D36,AT$16),MIN($E36,AT$17),Libur!$A$2:$A$38)/NETWORKDAYS($D36,$E36,Libur!$A$2:$A$38),0)</f>
        <v>0</v>
      </c>
      <c r="AU36" s="53">
        <f>IF(AND($D36&lt;=AU$17,$E36&gt;=AU$16),$C36*NETWORKDAYS(MAX($D36,AU$16),MIN($E36,AU$17),Libur!$A$2:$A$38)/NETWORKDAYS($D36,$E36,Libur!$A$2:$A$38),0)</f>
        <v>0</v>
      </c>
      <c r="AV36" s="53">
        <f>IF(AND($D36&lt;=AV$17,$E36&gt;=AV$16),$C36*NETWORKDAYS(MAX($D36,AV$16),MIN($E36,AV$17),Libur!$A$2:$A$38)/NETWORKDAYS($D36,$E36,Libur!$A$2:$A$38),0)</f>
        <v>0</v>
      </c>
      <c r="AW36" s="53">
        <f>IF(AND($D36&lt;=AW$17,$E36&gt;=AW$16),$C36*NETWORKDAYS(MAX($D36,AW$16),MIN($E36,AW$17),Libur!$A$2:$A$38)/NETWORKDAYS($D36,$E36,Libur!$A$2:$A$38),0)</f>
        <v>0</v>
      </c>
      <c r="AX36" s="53">
        <f>IF(AND($D36&lt;=AX$17,$E36&gt;=AX$16),$C36*NETWORKDAYS(MAX($D36,AX$16),MIN($E36,AX$17),Libur!$A$2:$A$38)/NETWORKDAYS($D36,$E36,Libur!$A$2:$A$38),0)</f>
        <v>0</v>
      </c>
      <c r="AY36" s="53">
        <f>IF(AND($D36&lt;=AY$17,$E36&gt;=AY$16),$C36*NETWORKDAYS(MAX($D36,AY$16),MIN($E36,AY$17),Libur!$A$2:$A$38)/NETWORKDAYS($D36,$E36,Libur!$A$2:$A$38),0)</f>
        <v>0</v>
      </c>
      <c r="AZ36" s="53">
        <f>IF(AND($D36&lt;=AZ$17,$E36&gt;=AZ$16),$C36*NETWORKDAYS(MAX($D36,AZ$16),MIN($E36,AZ$17),Libur!$A$2:$A$38)/NETWORKDAYS($D36,$E36,Libur!$A$2:$A$38),0)</f>
        <v>0</v>
      </c>
      <c r="BA36" s="53">
        <f>IF(AND($D36&lt;=BA$17,$E36&gt;=BA$16),$C36*NETWORKDAYS(MAX($D36,BA$16),MIN($E36,BA$17),Libur!$A$2:$A$38)/NETWORKDAYS($D36,$E36,Libur!$A$2:$A$38),0)</f>
        <v>0</v>
      </c>
      <c r="BB36" s="53">
        <f>IF(AND($D36&lt;=BB$17,$E36&gt;=BB$16),$C36*NETWORKDAYS(MAX($D36,BB$16),MIN($E36,BB$17),Libur!$A$2:$A$38)/NETWORKDAYS($D36,$E36,Libur!$A$2:$A$38),0)</f>
        <v>0</v>
      </c>
      <c r="BC36" s="53">
        <f>IF(AND($D36&lt;=BC$17,$E36&gt;=BC$16),$C36*NETWORKDAYS(MAX($D36,BC$16),MIN($E36,BC$17),Libur!$A$2:$A$38)/NETWORKDAYS($D36,$E36,Libur!$A$2:$A$38),0)</f>
        <v>0</v>
      </c>
      <c r="BD36" s="53">
        <f>IF(AND($D36&lt;=BD$17,$E36&gt;=BD$16),$C36*NETWORKDAYS(MAX($D36,BD$16),MIN($E36,BD$17),Libur!$A$2:$A$38)/NETWORKDAYS($D36,$E36,Libur!$A$2:$A$38),0)</f>
        <v>0</v>
      </c>
      <c r="BE36" s="53">
        <f>IF(AND($D36&lt;=BE$17,$E36&gt;=BE$16),$C36*NETWORKDAYS(MAX($D36,BE$16),MIN($E36,BE$17),Libur!$A$2:$A$38)/NETWORKDAYS($D36,$E36,Libur!$A$2:$A$38),0)</f>
        <v>0</v>
      </c>
      <c r="BF36" s="53">
        <f>IF(AND($D36&lt;=BF$17,$E36&gt;=BF$16),$C36*NETWORKDAYS(MAX($D36,BF$16),MIN($E36,BF$17),Libur!$A$2:$A$38)/NETWORKDAYS($D36,$E36,Libur!$A$2:$A$38),0)</f>
        <v>0</v>
      </c>
      <c r="BG36" s="53">
        <f>IF(AND($D36&lt;=BG$17,$E36&gt;=BG$16),$C36*NETWORKDAYS(MAX($D36,BG$16),MIN($E36,BG$17),Libur!$A$2:$A$38)/NETWORKDAYS($D36,$E36,Libur!$A$2:$A$38),0)</f>
        <v>0</v>
      </c>
      <c r="BH36" s="53">
        <f>IF(AND($D36&lt;=BH$17,$E36&gt;=BH$16),$C36*NETWORKDAYS(MAX($D36,BH$16),MIN($E36,BH$17),Libur!$A$2:$A$38)/NETWORKDAYS($D36,$E36,Libur!$A$2:$A$38),0)</f>
        <v>0</v>
      </c>
      <c r="BI36" s="53">
        <f>IF(AND($D36&lt;=BI$17,$E36&gt;=BI$16),$C36*NETWORKDAYS(MAX($D36,BI$16),MIN($E36,BI$17),Libur!$A$2:$A$38)/NETWORKDAYS($D36,$E36,Libur!$A$2:$A$38),0)</f>
        <v>0</v>
      </c>
      <c r="BJ36" s="53">
        <f>IF(AND($D36&lt;=BJ$17,$E36&gt;=BJ$16),$C36*NETWORKDAYS(MAX($D36,BJ$16),MIN($E36,BJ$17),Libur!$A$2:$A$38)/NETWORKDAYS($D36,$E36,Libur!$A$2:$A$38),0)</f>
        <v>0</v>
      </c>
      <c r="BK36" s="53">
        <f>IF(AND($D36&lt;=BK$17,$E36&gt;=BK$16),$C36*NETWORKDAYS(MAX($D36,BK$16),MIN($E36,BK$17),Libur!$A$2:$A$38)/NETWORKDAYS($D36,$E36,Libur!$A$2:$A$38),0)</f>
        <v>0</v>
      </c>
    </row>
    <row r="37" spans="1:63" x14ac:dyDescent="0.25">
      <c r="A37" s="45"/>
      <c r="B37" s="55"/>
      <c r="C37" s="48"/>
      <c r="D37" s="47"/>
      <c r="E37" s="47"/>
      <c r="F37" s="7"/>
      <c r="G37" s="48"/>
      <c r="H37" s="49"/>
      <c r="I37" s="48"/>
      <c r="J37" s="48"/>
      <c r="K37" s="48"/>
      <c r="L37" s="48"/>
      <c r="M37" s="48"/>
      <c r="N37" s="51"/>
      <c r="O37" s="52"/>
      <c r="P37" s="53">
        <f>IF(AND($D37&lt;=P$17,$E37&gt;=P$16),$C37*NETWORKDAYS(MAX($D37,P$16),MIN($E37,P$17),Libur!$A$2:$A$38)/NETWORKDAYS($D37,$E37,Libur!$A$2:$A$38),0)</f>
        <v>0</v>
      </c>
      <c r="Q37" s="53">
        <f>IF(AND($D37&lt;=Q$17,$E37&gt;=Q$16),$C37*NETWORKDAYS(MAX($D37,Q$16),MIN($E37,Q$17),Libur!$A$2:$A$38)/NETWORKDAYS($D37,$E37,Libur!$A$2:$A$38),0)</f>
        <v>0</v>
      </c>
      <c r="R37" s="53">
        <f>IF(AND($D37&lt;=R$17,$E37&gt;=R$16),$C37*NETWORKDAYS(MAX($D37,R$16),MIN($E37,R$17),Libur!$A$2:$A$38)/NETWORKDAYS($D37,$E37,Libur!$A$2:$A$38),0)</f>
        <v>0</v>
      </c>
      <c r="S37" s="53">
        <f>IF(AND($D37&lt;=S$17,$E37&gt;=S$16),$C37*NETWORKDAYS(MAX($D37,S$16),MIN($E37,S$17),Libur!$A$2:$A$38)/NETWORKDAYS($D37,$E37,Libur!$A$2:$A$38),0)</f>
        <v>0</v>
      </c>
      <c r="T37" s="53">
        <f>IF(AND($D37&lt;=T$17,$E37&gt;=T$16),$C37*NETWORKDAYS(MAX($D37,T$16),MIN($E37,T$17),Libur!$A$2:$A$38)/NETWORKDAYS($D37,$E37,Libur!$A$2:$A$38),0)</f>
        <v>0</v>
      </c>
      <c r="U37" s="53">
        <f>IF(AND($D37&lt;=U$17,$E37&gt;=U$16),$C37*NETWORKDAYS(MAX($D37,U$16),MIN($E37,U$17),Libur!$A$2:$A$38)/NETWORKDAYS($D37,$E37,Libur!$A$2:$A$38),0)</f>
        <v>0</v>
      </c>
      <c r="V37" s="53">
        <f>IF(AND($D37&lt;=V$17,$E37&gt;=V$16),$C37*NETWORKDAYS(MAX($D37,V$16),MIN($E37,V$17),Libur!$A$2:$A$38)/NETWORKDAYS($D37,$E37,Libur!$A$2:$A$38),0)</f>
        <v>0</v>
      </c>
      <c r="W37" s="53">
        <f>IF(AND($D37&lt;=W$17,$E37&gt;=W$16),$C37*NETWORKDAYS(MAX($D37,W$16),MIN($E37,W$17),Libur!$A$2:$A$38)/NETWORKDAYS($D37,$E37,Libur!$A$2:$A$38),0)</f>
        <v>0</v>
      </c>
      <c r="X37" s="53">
        <f>IF(AND($D37&lt;=X$17,$E37&gt;=X$16),$C37*NETWORKDAYS(MAX($D37,X$16),MIN($E37,X$17),Libur!$A$2:$A$38)/NETWORKDAYS($D37,$E37,Libur!$A$2:$A$38),0)</f>
        <v>0</v>
      </c>
      <c r="Y37" s="53">
        <f>IF(AND($D37&lt;=Y$17,$E37&gt;=Y$16),$C37*NETWORKDAYS(MAX($D37,Y$16),MIN($E37,Y$17),Libur!$A$2:$A$38)/NETWORKDAYS($D37,$E37,Libur!$A$2:$A$38),0)</f>
        <v>0</v>
      </c>
      <c r="Z37" s="53">
        <f>IF(AND($D37&lt;=Z$17,$E37&gt;=Z$16),$C37*NETWORKDAYS(MAX($D37,Z$16),MIN($E37,Z$17),Libur!$A$2:$A$38)/NETWORKDAYS($D37,$E37,Libur!$A$2:$A$38),0)</f>
        <v>0</v>
      </c>
      <c r="AA37" s="53">
        <f>IF(AND($D37&lt;=AA$17,$E37&gt;=AA$16),$C37*NETWORKDAYS(MAX($D37,AA$16),MIN($E37,AA$17),Libur!$A$2:$A$38)/NETWORKDAYS($D37,$E37,Libur!$A$2:$A$38),0)</f>
        <v>0</v>
      </c>
      <c r="AB37" s="53">
        <f>IF(AND($D37&lt;=AB$17,$E37&gt;=AB$16),$C37*NETWORKDAYS(MAX($D37,AB$16),MIN($E37,AB$17),Libur!$A$2:$A$38)/NETWORKDAYS($D37,$E37,Libur!$A$2:$A$38),0)</f>
        <v>0</v>
      </c>
      <c r="AC37" s="53">
        <f>IF(AND($D37&lt;=AC$17,$E37&gt;=AC$16),$C37*NETWORKDAYS(MAX($D37,AC$16),MIN($E37,AC$17),Libur!$A$2:$A$38)/NETWORKDAYS($D37,$E37,Libur!$A$2:$A$38),0)</f>
        <v>0</v>
      </c>
      <c r="AD37" s="53">
        <f>IF(AND($D37&lt;=AD$17,$E37&gt;=AD$16),$C37*NETWORKDAYS(MAX($D37,AD$16),MIN($E37,AD$17),Libur!$A$2:$A$38)/NETWORKDAYS($D37,$E37,Libur!$A$2:$A$38),0)</f>
        <v>0</v>
      </c>
      <c r="AE37" s="53">
        <f>IF(AND($D37&lt;=AE$17,$E37&gt;=AE$16),$C37*NETWORKDAYS(MAX($D37,AE$16),MIN($E37,AE$17),Libur!$A$2:$A$38)/NETWORKDAYS($D37,$E37,Libur!$A$2:$A$38),0)</f>
        <v>0</v>
      </c>
      <c r="AF37" s="53">
        <f>IF(AND($D37&lt;=AF$17,$E37&gt;=AF$16),$C37*NETWORKDAYS(MAX($D37,AF$16),MIN($E37,AF$17),Libur!$A$2:$A$38)/NETWORKDAYS($D37,$E37,Libur!$A$2:$A$38),0)</f>
        <v>0</v>
      </c>
      <c r="AG37" s="53">
        <f>IF(AND($D37&lt;=AG$17,$E37&gt;=AG$16),$C37*NETWORKDAYS(MAX($D37,AG$16),MIN($E37,AG$17),Libur!$A$2:$A$38)/NETWORKDAYS($D37,$E37,Libur!$A$2:$A$38),0)</f>
        <v>0</v>
      </c>
      <c r="AH37" s="53">
        <f>IF(AND($D37&lt;=AH$17,$E37&gt;=AH$16),$C37*NETWORKDAYS(MAX($D37,AH$16),MIN($E37,AH$17),Libur!$A$2:$A$38)/NETWORKDAYS($D37,$E37,Libur!$A$2:$A$38),0)</f>
        <v>0</v>
      </c>
      <c r="AI37" s="53">
        <f>IF(AND($D37&lt;=AI$17,$E37&gt;=AI$16),$C37*NETWORKDAYS(MAX($D37,AI$16),MIN($E37,AI$17),Libur!$A$2:$A$38)/NETWORKDAYS($D37,$E37,Libur!$A$2:$A$38),0)</f>
        <v>0</v>
      </c>
      <c r="AJ37" s="53">
        <f>IF(AND($D37&lt;=AJ$17,$E37&gt;=AJ$16),$C37*NETWORKDAYS(MAX($D37,AJ$16),MIN($E37,AJ$17),Libur!$A$2:$A$38)/NETWORKDAYS($D37,$E37,Libur!$A$2:$A$38),0)</f>
        <v>0</v>
      </c>
      <c r="AK37" s="53">
        <f>IF(AND($D37&lt;=AK$17,$E37&gt;=AK$16),$C37*NETWORKDAYS(MAX($D37,AK$16),MIN($E37,AK$17),Libur!$A$2:$A$38)/NETWORKDAYS($D37,$E37,Libur!$A$2:$A$38),0)</f>
        <v>0</v>
      </c>
      <c r="AL37" s="53">
        <f>IF(AND($D37&lt;=AL$17,$E37&gt;=AL$16),$C37*NETWORKDAYS(MAX($D37,AL$16),MIN($E37,AL$17),Libur!$A$2:$A$38)/NETWORKDAYS($D37,$E37,Libur!$A$2:$A$38),0)</f>
        <v>0</v>
      </c>
      <c r="AM37" s="53">
        <f>IF(AND($D37&lt;=AM$17,$E37&gt;=AM$16),$C37*NETWORKDAYS(MAX($D37,AM$16),MIN($E37,AM$17),Libur!$A$2:$A$38)/NETWORKDAYS($D37,$E37,Libur!$A$2:$A$38),0)</f>
        <v>0</v>
      </c>
      <c r="AN37" s="53">
        <f>IF(AND($D37&lt;=AN$17,$E37&gt;=AN$16),$C37*NETWORKDAYS(MAX($D37,AN$16),MIN($E37,AN$17),Libur!$A$2:$A$38)/NETWORKDAYS($D37,$E37,Libur!$A$2:$A$38),0)</f>
        <v>0</v>
      </c>
      <c r="AO37" s="53">
        <f>IF(AND($D37&lt;=AO$17,$E37&gt;=AO$16),$C37*NETWORKDAYS(MAX($D37,AO$16),MIN($E37,AO$17),Libur!$A$2:$A$38)/NETWORKDAYS($D37,$E37,Libur!$A$2:$A$38),0)</f>
        <v>0</v>
      </c>
      <c r="AP37" s="53">
        <f>IF(AND($D37&lt;=AP$17,$E37&gt;=AP$16),$C37*NETWORKDAYS(MAX($D37,AP$16),MIN($E37,AP$17),Libur!$A$2:$A$38)/NETWORKDAYS($D37,$E37,Libur!$A$2:$A$38),0)</f>
        <v>0</v>
      </c>
      <c r="AQ37" s="53">
        <f>IF(AND($D37&lt;=AQ$17,$E37&gt;=AQ$16),$C37*NETWORKDAYS(MAX($D37,AQ$16),MIN($E37,AQ$17),Libur!$A$2:$A$38)/NETWORKDAYS($D37,$E37,Libur!$A$2:$A$38),0)</f>
        <v>0</v>
      </c>
      <c r="AR37" s="53">
        <f>IF(AND($D37&lt;=AR$17,$E37&gt;=AR$16),$C37*NETWORKDAYS(MAX($D37,AR$16),MIN($E37,AR$17),Libur!$A$2:$A$38)/NETWORKDAYS($D37,$E37,Libur!$A$2:$A$38),0)</f>
        <v>0</v>
      </c>
      <c r="AS37" s="53">
        <f>IF(AND($D37&lt;=AS$17,$E37&gt;=AS$16),$C37*NETWORKDAYS(MAX($D37,AS$16),MIN($E37,AS$17),Libur!$A$2:$A$38)/NETWORKDAYS($D37,$E37,Libur!$A$2:$A$38),0)</f>
        <v>0</v>
      </c>
      <c r="AT37" s="53">
        <f>IF(AND($D37&lt;=AT$17,$E37&gt;=AT$16),$C37*NETWORKDAYS(MAX($D37,AT$16),MIN($E37,AT$17),Libur!$A$2:$A$38)/NETWORKDAYS($D37,$E37,Libur!$A$2:$A$38),0)</f>
        <v>0</v>
      </c>
      <c r="AU37" s="53">
        <f>IF(AND($D37&lt;=AU$17,$E37&gt;=AU$16),$C37*NETWORKDAYS(MAX($D37,AU$16),MIN($E37,AU$17),Libur!$A$2:$A$38)/NETWORKDAYS($D37,$E37,Libur!$A$2:$A$38),0)</f>
        <v>0</v>
      </c>
      <c r="AV37" s="53">
        <f>IF(AND($D37&lt;=AV$17,$E37&gt;=AV$16),$C37*NETWORKDAYS(MAX($D37,AV$16),MIN($E37,AV$17),Libur!$A$2:$A$38)/NETWORKDAYS($D37,$E37,Libur!$A$2:$A$38),0)</f>
        <v>0</v>
      </c>
      <c r="AW37" s="53">
        <f>IF(AND($D37&lt;=AW$17,$E37&gt;=AW$16),$C37*NETWORKDAYS(MAX($D37,AW$16),MIN($E37,AW$17),Libur!$A$2:$A$38)/NETWORKDAYS($D37,$E37,Libur!$A$2:$A$38),0)</f>
        <v>0</v>
      </c>
      <c r="AX37" s="53">
        <f>IF(AND($D37&lt;=AX$17,$E37&gt;=AX$16),$C37*NETWORKDAYS(MAX($D37,AX$16),MIN($E37,AX$17),Libur!$A$2:$A$38)/NETWORKDAYS($D37,$E37,Libur!$A$2:$A$38),0)</f>
        <v>0</v>
      </c>
      <c r="AY37" s="53">
        <f>IF(AND($D37&lt;=AY$17,$E37&gt;=AY$16),$C37*NETWORKDAYS(MAX($D37,AY$16),MIN($E37,AY$17),Libur!$A$2:$A$38)/NETWORKDAYS($D37,$E37,Libur!$A$2:$A$38),0)</f>
        <v>0</v>
      </c>
      <c r="AZ37" s="53">
        <f>IF(AND($D37&lt;=AZ$17,$E37&gt;=AZ$16),$C37*NETWORKDAYS(MAX($D37,AZ$16),MIN($E37,AZ$17),Libur!$A$2:$A$38)/NETWORKDAYS($D37,$E37,Libur!$A$2:$A$38),0)</f>
        <v>0</v>
      </c>
      <c r="BA37" s="53">
        <f>IF(AND($D37&lt;=BA$17,$E37&gt;=BA$16),$C37*NETWORKDAYS(MAX($D37,BA$16),MIN($E37,BA$17),Libur!$A$2:$A$38)/NETWORKDAYS($D37,$E37,Libur!$A$2:$A$38),0)</f>
        <v>0</v>
      </c>
      <c r="BB37" s="53">
        <f>IF(AND($D37&lt;=BB$17,$E37&gt;=BB$16),$C37*NETWORKDAYS(MAX($D37,BB$16),MIN($E37,BB$17),Libur!$A$2:$A$38)/NETWORKDAYS($D37,$E37,Libur!$A$2:$A$38),0)</f>
        <v>0</v>
      </c>
      <c r="BC37" s="53">
        <f>IF(AND($D37&lt;=BC$17,$E37&gt;=BC$16),$C37*NETWORKDAYS(MAX($D37,BC$16),MIN($E37,BC$17),Libur!$A$2:$A$38)/NETWORKDAYS($D37,$E37,Libur!$A$2:$A$38),0)</f>
        <v>0</v>
      </c>
      <c r="BD37" s="53">
        <f>IF(AND($D37&lt;=BD$17,$E37&gt;=BD$16),$C37*NETWORKDAYS(MAX($D37,BD$16),MIN($E37,BD$17),Libur!$A$2:$A$38)/NETWORKDAYS($D37,$E37,Libur!$A$2:$A$38),0)</f>
        <v>0</v>
      </c>
      <c r="BE37" s="53">
        <f>IF(AND($D37&lt;=BE$17,$E37&gt;=BE$16),$C37*NETWORKDAYS(MAX($D37,BE$16),MIN($E37,BE$17),Libur!$A$2:$A$38)/NETWORKDAYS($D37,$E37,Libur!$A$2:$A$38),0)</f>
        <v>0</v>
      </c>
      <c r="BF37" s="53">
        <f>IF(AND($D37&lt;=BF$17,$E37&gt;=BF$16),$C37*NETWORKDAYS(MAX($D37,BF$16),MIN($E37,BF$17),Libur!$A$2:$A$38)/NETWORKDAYS($D37,$E37,Libur!$A$2:$A$38),0)</f>
        <v>0</v>
      </c>
      <c r="BG37" s="53">
        <f>IF(AND($D37&lt;=BG$17,$E37&gt;=BG$16),$C37*NETWORKDAYS(MAX($D37,BG$16),MIN($E37,BG$17),Libur!$A$2:$A$38)/NETWORKDAYS($D37,$E37,Libur!$A$2:$A$38),0)</f>
        <v>0</v>
      </c>
      <c r="BH37" s="53">
        <f>IF(AND($D37&lt;=BH$17,$E37&gt;=BH$16),$C37*NETWORKDAYS(MAX($D37,BH$16),MIN($E37,BH$17),Libur!$A$2:$A$38)/NETWORKDAYS($D37,$E37,Libur!$A$2:$A$38),0)</f>
        <v>0</v>
      </c>
      <c r="BI37" s="53">
        <f>IF(AND($D37&lt;=BI$17,$E37&gt;=BI$16),$C37*NETWORKDAYS(MAX($D37,BI$16),MIN($E37,BI$17),Libur!$A$2:$A$38)/NETWORKDAYS($D37,$E37,Libur!$A$2:$A$38),0)</f>
        <v>0</v>
      </c>
      <c r="BJ37" s="53">
        <f>IF(AND($D37&lt;=BJ$17,$E37&gt;=BJ$16),$C37*NETWORKDAYS(MAX($D37,BJ$16),MIN($E37,BJ$17),Libur!$A$2:$A$38)/NETWORKDAYS($D37,$E37,Libur!$A$2:$A$38),0)</f>
        <v>0</v>
      </c>
      <c r="BK37" s="53">
        <f>IF(AND($D37&lt;=BK$17,$E37&gt;=BK$16),$C37*NETWORKDAYS(MAX($D37,BK$16),MIN($E37,BK$17),Libur!$A$2:$A$38)/NETWORKDAYS($D37,$E37,Libur!$A$2:$A$38),0)</f>
        <v>0</v>
      </c>
    </row>
    <row r="38" spans="1:63" s="9" customFormat="1" x14ac:dyDescent="0.25">
      <c r="A38" s="36" t="s">
        <v>89</v>
      </c>
      <c r="B38" s="9" t="s">
        <v>90</v>
      </c>
      <c r="C38" s="37">
        <f>SUM(C39:C41)</f>
        <v>0.42</v>
      </c>
      <c r="D38" s="56">
        <v>46185</v>
      </c>
      <c r="E38" s="56">
        <v>46219</v>
      </c>
      <c r="F38" s="48"/>
      <c r="G38" s="48"/>
      <c r="H38" s="40">
        <f>NETWORKDAYS(D38,E38,Libur!$A$2:$A$56)</f>
        <v>24</v>
      </c>
      <c r="I38" s="54">
        <f>IF($C$8&gt;E38,100/100,IF($C$8&lt;=D38,0,(NETWORKDAYS(D38,$C$8)/NETWORKDAYS(D38,E38))))</f>
        <v>0</v>
      </c>
      <c r="J38" s="54">
        <f>SUM(J39:J41)</f>
        <v>0</v>
      </c>
      <c r="K38" s="54">
        <f>SUM(K39:K41)</f>
        <v>0</v>
      </c>
      <c r="L38" s="54">
        <f>SUM(L39:L41)</f>
        <v>0</v>
      </c>
      <c r="M38" s="54">
        <f>SUM(M39:M41)</f>
        <v>0</v>
      </c>
      <c r="N38" s="51"/>
      <c r="O38" s="52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>
        <f>IF(AND($D38&lt;=AE$17,$E38&gt;=AE$16),$C38*NETWORKDAYS(MAX($D38,AE$16),MIN($E38,AE$17),Libur!$A$2:$A$38)/NETWORKDAYS($D38,$E38,Libur!$A$2:$A$38),0)</f>
        <v>0</v>
      </c>
      <c r="AF38" s="53">
        <f>IF(AND($D38&lt;=AF$17,$E38&gt;=AF$16),$C38*NETWORKDAYS(MAX($D38,AF$16),MIN($E38,AF$17),Libur!$A$2:$A$38)/NETWORKDAYS($D38,$E38,Libur!$A$2:$A$38),0)</f>
        <v>0</v>
      </c>
      <c r="AG38" s="53">
        <f>IF(AND($D38&lt;=AG$17,$E38&gt;=AG$16),$C38*NETWORKDAYS(MAX($D38,AG$16),MIN($E38,AG$17),Libur!$A$2:$A$38)/NETWORKDAYS($D38,$E38,Libur!$A$2:$A$38),0)</f>
        <v>0</v>
      </c>
      <c r="AH38" s="53">
        <f>IF(AND($D38&lt;=AH$17,$E38&gt;=AH$16),$C38*NETWORKDAYS(MAX($D38,AH$16),MIN($E38,AH$17),Libur!$A$2:$A$38)/NETWORKDAYS($D38,$E38,Libur!$A$2:$A$38),0)</f>
        <v>0</v>
      </c>
      <c r="AI38" s="53">
        <f>IF(AND($D38&lt;=AI$17,$E38&gt;=AI$16),$C38*NETWORKDAYS(MAX($D38,AI$16),MIN($E38,AI$17),Libur!$A$2:$A$38)/NETWORKDAYS($D38,$E38,Libur!$A$2:$A$38),0)</f>
        <v>0</v>
      </c>
      <c r="AJ38" s="53">
        <f>IF(AND($D38&lt;=AJ$17,$E38&gt;=AJ$16),$C38*NETWORKDAYS(MAX($D38,AJ$16),MIN($E38,AJ$17),Libur!$A$2:$A$38)/NETWORKDAYS($D38,$E38,Libur!$A$2:$A$38),0)</f>
        <v>0</v>
      </c>
      <c r="AK38" s="53">
        <f>IF(AND($D38&lt;=AK$17,$E38&gt;=AK$16),$C38*NETWORKDAYS(MAX($D38,AK$16),MIN($E38,AK$17),Libur!$A$2:$A$38)/NETWORKDAYS($D38,$E38,Libur!$A$2:$A$38),0)</f>
        <v>0</v>
      </c>
      <c r="AL38" s="53">
        <f>IF(AND($D38&lt;=AL$17,$E38&gt;=AL$16),$C38*NETWORKDAYS(MAX($D38,AL$16),MIN($E38,AL$17),Libur!$A$2:$A$38)/NETWORKDAYS($D38,$E38,Libur!$A$2:$A$38),0)</f>
        <v>0</v>
      </c>
      <c r="AM38" s="53">
        <f>IF(AND($D38&lt;=AM$17,$E38&gt;=AM$16),$C38*NETWORKDAYS(MAX($D38,AM$16),MIN($E38,AM$17),Libur!$A$2:$A$38)/NETWORKDAYS($D38,$E38,Libur!$A$2:$A$38),0)</f>
        <v>0</v>
      </c>
      <c r="AN38" s="53">
        <f>IF(AND($D38&lt;=AN$17,$E38&gt;=AN$16),$C38*NETWORKDAYS(MAX($D38,AN$16),MIN($E38,AN$17),Libur!$A$2:$A$38)/NETWORKDAYS($D38,$E38,Libur!$A$2:$A$38),0)</f>
        <v>0</v>
      </c>
      <c r="AO38" s="53">
        <f>IF(AND($D38&lt;=AO$17,$E38&gt;=AO$16),$C38*NETWORKDAYS(MAX($D38,AO$16),MIN($E38,AO$17),Libur!$A$2:$A$38)/NETWORKDAYS($D38,$E38,Libur!$A$2:$A$38),0)</f>
        <v>0</v>
      </c>
      <c r="AP38" s="53">
        <f>IF(AND($D38&lt;=AP$17,$E38&gt;=AP$16),$C38*NETWORKDAYS(MAX($D38,AP$16),MIN($E38,AP$17),Libur!$A$2:$A$38)/NETWORKDAYS($D38,$E38,Libur!$A$2:$A$38),0)</f>
        <v>0</v>
      </c>
      <c r="AQ38" s="53">
        <f>IF(AND($D38&lt;=AQ$17,$E38&gt;=AQ$16),$C38*NETWORKDAYS(MAX($D38,AQ$16),MIN($E38,AQ$17),Libur!$A$2:$A$38)/NETWORKDAYS($D38,$E38,Libur!$A$2:$A$38),0)</f>
        <v>0</v>
      </c>
      <c r="AR38" s="53">
        <f>IF(AND($D38&lt;=AR$17,$E38&gt;=AR$16),$C38*NETWORKDAYS(MAX($D38,AR$16),MIN($E38,AR$17),Libur!$A$2:$A$38)/NETWORKDAYS($D38,$E38,Libur!$A$2:$A$38),0)</f>
        <v>0</v>
      </c>
      <c r="AS38" s="53">
        <f>IF(AND($D38&lt;=AS$17,$E38&gt;=AS$16),$C38*NETWORKDAYS(MAX($D38,AS$16),MIN($E38,AS$17),Libur!$A$2:$A$38)/NETWORKDAYS($D38,$E38,Libur!$A$2:$A$38),0)</f>
        <v>0</v>
      </c>
      <c r="AT38" s="53">
        <f>IF(AND($D38&lt;=AT$17,$E38&gt;=AT$16),$C38*NETWORKDAYS(MAX($D38,AT$16),MIN($E38,AT$17),Libur!$A$2:$A$38)/NETWORKDAYS($D38,$E38,Libur!$A$2:$A$38),0)</f>
        <v>0</v>
      </c>
      <c r="AU38" s="53">
        <f>IF(AND($D38&lt;=AU$17,$E38&gt;=AU$16),$C38*NETWORKDAYS(MAX($D38,AU$16),MIN($E38,AU$17),Libur!$A$2:$A$38)/NETWORKDAYS($D38,$E38,Libur!$A$2:$A$38),0)</f>
        <v>0</v>
      </c>
      <c r="AV38" s="53">
        <f>IF(AND($D38&lt;=AV$17,$E38&gt;=AV$16),$C38*NETWORKDAYS(MAX($D38,AV$16),MIN($E38,AV$17),Libur!$A$2:$A$38)/NETWORKDAYS($D38,$E38,Libur!$A$2:$A$38),0)</f>
        <v>0</v>
      </c>
      <c r="AW38" s="53">
        <f>IF(AND($D38&lt;=AW$17,$E38&gt;=AW$16),$C38*NETWORKDAYS(MAX($D38,AW$16),MIN($E38,AW$17),Libur!$A$2:$A$38)/NETWORKDAYS($D38,$E38,Libur!$A$2:$A$38),0)</f>
        <v>0</v>
      </c>
      <c r="AX38" s="53">
        <f>IF(AND($D38&lt;=AX$17,$E38&gt;=AX$16),$C38*NETWORKDAYS(MAX($D38,AX$16),MIN($E38,AX$17),Libur!$A$2:$A$38)/NETWORKDAYS($D38,$E38,Libur!$A$2:$A$38),0)</f>
        <v>0</v>
      </c>
      <c r="AY38" s="53">
        <f>IF(AND($D38&lt;=AY$17,$E38&gt;=AY$16),$C38*NETWORKDAYS(MAX($D38,AY$16),MIN($E38,AY$17),Libur!$A$2:$A$38)/NETWORKDAYS($D38,$E38,Libur!$A$2:$A$38),0)</f>
        <v>0</v>
      </c>
      <c r="AZ38" s="53">
        <f>IF(AND($D38&lt;=AZ$17,$E38&gt;=AZ$16),$C38*NETWORKDAYS(MAX($D38,AZ$16),MIN($E38,AZ$17),Libur!$A$2:$A$38)/NETWORKDAYS($D38,$E38,Libur!$A$2:$A$38),0)</f>
        <v>0</v>
      </c>
      <c r="BA38" s="53">
        <f>IF(AND($D38&lt;=BA$17,$E38&gt;=BA$16),$C38*NETWORKDAYS(MAX($D38,BA$16),MIN($E38,BA$17),Libur!$A$2:$A$38)/NETWORKDAYS($D38,$E38,Libur!$A$2:$A$38),0)</f>
        <v>0</v>
      </c>
      <c r="BB38" s="53">
        <f>IF(AND($D38&lt;=BB$17,$E38&gt;=BB$16),$C38*NETWORKDAYS(MAX($D38,BB$16),MIN($E38,BB$17),Libur!$A$2:$A$38)/NETWORKDAYS($D38,$E38,Libur!$A$2:$A$38),0)</f>
        <v>0</v>
      </c>
      <c r="BC38" s="53">
        <f>IF(AND($D38&lt;=BC$17,$E38&gt;=BC$16),$C38*NETWORKDAYS(MAX($D38,BC$16),MIN($E38,BC$17),Libur!$A$2:$A$38)/NETWORKDAYS($D38,$E38,Libur!$A$2:$A$38),0)</f>
        <v>0</v>
      </c>
      <c r="BD38" s="53">
        <f>IF(AND($D38&lt;=BD$17,$E38&gt;=BD$16),$C38*NETWORKDAYS(MAX($D38,BD$16),MIN($E38,BD$17),Libur!$A$2:$A$38)/NETWORKDAYS($D38,$E38,Libur!$A$2:$A$38),0)</f>
        <v>0</v>
      </c>
      <c r="BE38" s="53">
        <f>IF(AND($D38&lt;=BE$17,$E38&gt;=BE$16),$C38*NETWORKDAYS(MAX($D38,BE$16),MIN($E38,BE$17),Libur!$A$2:$A$38)/NETWORKDAYS($D38,$E38,Libur!$A$2:$A$38),0)</f>
        <v>0</v>
      </c>
      <c r="BF38" s="53">
        <f>IF(AND($D38&lt;=BF$17,$E38&gt;=BF$16),$C38*NETWORKDAYS(MAX($D38,BF$16),MIN($E38,BF$17),Libur!$A$2:$A$38)/NETWORKDAYS($D38,$E38,Libur!$A$2:$A$38),0)</f>
        <v>0</v>
      </c>
      <c r="BG38" s="53">
        <f>IF(AND($D38&lt;=BG$17,$E38&gt;=BG$16),$C38*NETWORKDAYS(MAX($D38,BG$16),MIN($E38,BG$17),Libur!$A$2:$A$38)/NETWORKDAYS($D38,$E38,Libur!$A$2:$A$38),0)</f>
        <v>0</v>
      </c>
      <c r="BH38" s="53">
        <f>IF(AND($D38&lt;=BH$17,$E38&gt;=BH$16),$C38*NETWORKDAYS(MAX($D38,BH$16),MIN($E38,BH$17),Libur!$A$2:$A$38)/NETWORKDAYS($D38,$E38,Libur!$A$2:$A$38),0)</f>
        <v>0</v>
      </c>
      <c r="BI38" s="53">
        <f>IF(AND($D38&lt;=BI$17,$E38&gt;=BI$16),$C38*NETWORKDAYS(MAX($D38,BI$16),MIN($E38,BI$17),Libur!$A$2:$A$38)/NETWORKDAYS($D38,$E38,Libur!$A$2:$A$38),0)</f>
        <v>0</v>
      </c>
      <c r="BJ38" s="53">
        <f>IF(AND($D38&lt;=BJ$17,$E38&gt;=BJ$16),$C38*NETWORKDAYS(MAX($D38,BJ$16),MIN($E38,BJ$17),Libur!$A$2:$A$38)/NETWORKDAYS($D38,$E38,Libur!$A$2:$A$38),0)</f>
        <v>0</v>
      </c>
      <c r="BK38" s="53">
        <f>IF(AND($D38&lt;=BK$17,$E38&gt;=BK$16),$C38*NETWORKDAYS(MAX($D38,BK$16),MIN($E38,BK$17),Libur!$A$2:$A$38)/NETWORKDAYS($D38,$E38,Libur!$A$2:$A$38),0)</f>
        <v>0</v>
      </c>
    </row>
    <row r="39" spans="1:63" x14ac:dyDescent="0.25">
      <c r="A39" s="45"/>
      <c r="B39" s="46" t="s">
        <v>91</v>
      </c>
      <c r="C39" s="48">
        <v>0.15</v>
      </c>
      <c r="D39" s="47">
        <v>46185</v>
      </c>
      <c r="E39" s="47">
        <v>46205</v>
      </c>
      <c r="F39" s="7">
        <f>C39</f>
        <v>0.15</v>
      </c>
      <c r="G39" s="48">
        <f>SUM(P39:AZ39)</f>
        <v>0.15000000000000002</v>
      </c>
      <c r="H39" s="49">
        <f>NETWORKDAYS(D39,E39,Libur!$A$2:$A$56)</f>
        <v>14</v>
      </c>
      <c r="I39" s="48">
        <f>IF($C$8&gt;E39,100/100,IF($C$8&lt;=D39,0,(NETWORKDAYS(D39,$C$8)/NETWORKDAYS(D39,E39))))</f>
        <v>0</v>
      </c>
      <c r="J39" s="48">
        <f>I39*F39</f>
        <v>0</v>
      </c>
      <c r="K39" s="48">
        <v>0</v>
      </c>
      <c r="L39" s="48">
        <f>C39*K39</f>
        <v>0</v>
      </c>
      <c r="M39" s="48">
        <f>L39-J39</f>
        <v>0</v>
      </c>
      <c r="N39" s="51">
        <f>C39</f>
        <v>0.15</v>
      </c>
      <c r="O39" s="52">
        <f>SUM(P39:BK39)</f>
        <v>0.15000000000000002</v>
      </c>
      <c r="P39" s="53">
        <f>IF(AND($D39&lt;=P$17,$E39&gt;=P$16),$C39*NETWORKDAYS(MAX($D39,P$16),MIN($E39,P$17),Libur!$A$2:$A$38)/NETWORKDAYS($D39,$E39,Libur!$A$2:$A$38),0)</f>
        <v>0</v>
      </c>
      <c r="Q39" s="53">
        <f>IF(AND($D39&lt;=Q$17,$E39&gt;=Q$16),$C39*NETWORKDAYS(MAX($D39,Q$16),MIN($E39,Q$17),Libur!$A$2:$A$38)/NETWORKDAYS($D39,$E39,Libur!$A$2:$A$38),0)</f>
        <v>0</v>
      </c>
      <c r="R39" s="53">
        <f>IF(AND($D39&lt;=R$17,$E39&gt;=R$16),$C39*NETWORKDAYS(MAX($D39,R$16),MIN($E39,R$17),Libur!$A$2:$A$38)/NETWORKDAYS($D39,$E39,Libur!$A$2:$A$38),0)</f>
        <v>0</v>
      </c>
      <c r="S39" s="53">
        <f>IF(AND($D39&lt;=S$17,$E39&gt;=S$16),$C39*NETWORKDAYS(MAX($D39,S$16),MIN($E39,S$17),Libur!$A$2:$A$38)/NETWORKDAYS($D39,$E39,Libur!$A$2:$A$38),0)</f>
        <v>0</v>
      </c>
      <c r="T39" s="53">
        <f>IF(AND($D39&lt;=T$17,$E39&gt;=T$16),$C39*NETWORKDAYS(MAX($D39,T$16),MIN($E39,T$17),Libur!$A$2:$A$38)/NETWORKDAYS($D39,$E39,Libur!$A$2:$A$38),0)</f>
        <v>0</v>
      </c>
      <c r="U39" s="53">
        <f>IF(AND($D39&lt;=U$17,$E39&gt;=U$16),$C39*NETWORKDAYS(MAX($D39,U$16),MIN($E39,U$17),Libur!$A$2:$A$38)/NETWORKDAYS($D39,$E39,Libur!$A$2:$A$38),0)</f>
        <v>0.01</v>
      </c>
      <c r="V39" s="53">
        <f>IF(AND($D39&lt;=V$17,$E39&gt;=V$16),$C39*NETWORKDAYS(MAX($D39,V$16),MIN($E39,V$17),Libur!$A$2:$A$38)/NETWORKDAYS($D39,$E39,Libur!$A$2:$A$38),0)</f>
        <v>0.05</v>
      </c>
      <c r="W39" s="53">
        <f>IF(AND($D39&lt;=W$17,$E39&gt;=W$16),$C39*NETWORKDAYS(MAX($D39,W$16),MIN($E39,W$17),Libur!$A$2:$A$38)/NETWORKDAYS($D39,$E39,Libur!$A$2:$A$38),0)</f>
        <v>0.05</v>
      </c>
      <c r="X39" s="53">
        <f>IF(AND($D39&lt;=X$17,$E39&gt;=X$16),$C39*NETWORKDAYS(MAX($D39,X$16),MIN($E39,X$17),Libur!$A$2:$A$38)/NETWORKDAYS($D39,$E39,Libur!$A$2:$A$38),0)</f>
        <v>0.04</v>
      </c>
      <c r="Y39" s="53">
        <f>IF(AND($D39&lt;=Y$17,$E39&gt;=Y$16),$C39*NETWORKDAYS(MAX($D39,Y$16),MIN($E39,Y$17),Libur!$A$2:$A$38)/NETWORKDAYS($D39,$E39,Libur!$A$2:$A$38),0)</f>
        <v>0</v>
      </c>
      <c r="Z39" s="53">
        <f>IF(AND($D39&lt;=Z$17,$E39&gt;=Z$16),$C39*NETWORKDAYS(MAX($D39,Z$16),MIN($E39,Z$17),Libur!$A$2:$A$38)/NETWORKDAYS($D39,$E39,Libur!$A$2:$A$38),0)</f>
        <v>0</v>
      </c>
      <c r="AA39" s="53">
        <f>IF(AND($D39&lt;=AA$17,$E39&gt;=AA$16),$C39*NETWORKDAYS(MAX($D39,AA$16),MIN($E39,AA$17),Libur!$A$2:$A$38)/NETWORKDAYS($D39,$E39,Libur!$A$2:$A$38),0)</f>
        <v>0</v>
      </c>
      <c r="AB39" s="53">
        <f>IF(AND($D39&lt;=AB$17,$E39&gt;=AB$16),$C39*NETWORKDAYS(MAX($D39,AB$16),MIN($E39,AB$17),Libur!$A$2:$A$38)/NETWORKDAYS($D39,$E39,Libur!$A$2:$A$38),0)</f>
        <v>0</v>
      </c>
      <c r="AC39" s="53">
        <f>IF(AND($D39&lt;=AC$17,$E39&gt;=AC$16),$C39*NETWORKDAYS(MAX($D39,AC$16),MIN($E39,AC$17),Libur!$A$2:$A$38)/NETWORKDAYS($D39,$E39,Libur!$A$2:$A$38),0)</f>
        <v>0</v>
      </c>
      <c r="AD39" s="53">
        <f>IF(AND($D39&lt;=AD$17,$E39&gt;=AD$16),$C39*NETWORKDAYS(MAX($D39,AD$16),MIN($E39,AD$17),Libur!$A$2:$A$38)/NETWORKDAYS($D39,$E39,Libur!$A$2:$A$38),0)</f>
        <v>0</v>
      </c>
      <c r="AE39" s="53">
        <f>IF(AND($D39&lt;=AE$17,$E39&gt;=AE$16),$C39*NETWORKDAYS(MAX($D39,AE$16),MIN($E39,AE$17),Libur!$A$2:$A$38)/NETWORKDAYS($D39,$E39,Libur!$A$2:$A$38),0)</f>
        <v>0</v>
      </c>
      <c r="AF39" s="53">
        <f>IF(AND($D39&lt;=AF$17,$E39&gt;=AF$16),$C39*NETWORKDAYS(MAX($D39,AF$16),MIN($E39,AF$17),Libur!$A$2:$A$38)/NETWORKDAYS($D39,$E39,Libur!$A$2:$A$38),0)</f>
        <v>0</v>
      </c>
      <c r="AG39" s="53">
        <f>IF(AND($D39&lt;=AG$17,$E39&gt;=AG$16),$C39*NETWORKDAYS(MAX($D39,AG$16),MIN($E39,AG$17),Libur!$A$2:$A$38)/NETWORKDAYS($D39,$E39,Libur!$A$2:$A$38),0)</f>
        <v>0</v>
      </c>
      <c r="AH39" s="53">
        <f>IF(AND($D39&lt;=AH$17,$E39&gt;=AH$16),$C39*NETWORKDAYS(MAX($D39,AH$16),MIN($E39,AH$17),Libur!$A$2:$A$38)/NETWORKDAYS($D39,$E39,Libur!$A$2:$A$38),0)</f>
        <v>0</v>
      </c>
      <c r="AI39" s="53">
        <f>IF(AND($D39&lt;=AI$17,$E39&gt;=AI$16),$C39*NETWORKDAYS(MAX($D39,AI$16),MIN($E39,AI$17),Libur!$A$2:$A$38)/NETWORKDAYS($D39,$E39,Libur!$A$2:$A$38),0)</f>
        <v>0</v>
      </c>
      <c r="AJ39" s="53">
        <f>IF(AND($D39&lt;=AJ$17,$E39&gt;=AJ$16),$C39*NETWORKDAYS(MAX($D39,AJ$16),MIN($E39,AJ$17),Libur!$A$2:$A$38)/NETWORKDAYS($D39,$E39,Libur!$A$2:$A$38),0)</f>
        <v>0</v>
      </c>
      <c r="AK39" s="53">
        <f>IF(AND($D39&lt;=AK$17,$E39&gt;=AK$16),$C39*NETWORKDAYS(MAX($D39,AK$16),MIN($E39,AK$17),Libur!$A$2:$A$38)/NETWORKDAYS($D39,$E39,Libur!$A$2:$A$38),0)</f>
        <v>0</v>
      </c>
      <c r="AL39" s="53">
        <f>IF(AND($D39&lt;=AL$17,$E39&gt;=AL$16),$C39*NETWORKDAYS(MAX($D39,AL$16),MIN($E39,AL$17),Libur!$A$2:$A$38)/NETWORKDAYS($D39,$E39,Libur!$A$2:$A$38),0)</f>
        <v>0</v>
      </c>
      <c r="AM39" s="53">
        <f>IF(AND($D39&lt;=AM$17,$E39&gt;=AM$16),$C39*NETWORKDAYS(MAX($D39,AM$16),MIN($E39,AM$17),Libur!$A$2:$A$38)/NETWORKDAYS($D39,$E39,Libur!$A$2:$A$38),0)</f>
        <v>0</v>
      </c>
      <c r="AN39" s="53">
        <f>IF(AND($D39&lt;=AN$17,$E39&gt;=AN$16),$C39*NETWORKDAYS(MAX($D39,AN$16),MIN($E39,AN$17),Libur!$A$2:$A$38)/NETWORKDAYS($D39,$E39,Libur!$A$2:$A$38),0)</f>
        <v>0</v>
      </c>
      <c r="AO39" s="53">
        <f>IF(AND($D39&lt;=AO$17,$E39&gt;=AO$16),$C39*NETWORKDAYS(MAX($D39,AO$16),MIN($E39,AO$17),Libur!$A$2:$A$38)/NETWORKDAYS($D39,$E39,Libur!$A$2:$A$38),0)</f>
        <v>0</v>
      </c>
      <c r="AP39" s="53">
        <f>IF(AND($D39&lt;=AP$17,$E39&gt;=AP$16),$C39*NETWORKDAYS(MAX($D39,AP$16),MIN($E39,AP$17),Libur!$A$2:$A$38)/NETWORKDAYS($D39,$E39,Libur!$A$2:$A$38),0)</f>
        <v>0</v>
      </c>
      <c r="AQ39" s="53">
        <f>IF(AND($D39&lt;=AQ$17,$E39&gt;=AQ$16),$C39*NETWORKDAYS(MAX($D39,AQ$16),MIN($E39,AQ$17),Libur!$A$2:$A$38)/NETWORKDAYS($D39,$E39,Libur!$A$2:$A$38),0)</f>
        <v>0</v>
      </c>
      <c r="AR39" s="53">
        <f>IF(AND($D39&lt;=AR$17,$E39&gt;=AR$16),$C39*NETWORKDAYS(MAX($D39,AR$16),MIN($E39,AR$17),Libur!$A$2:$A$38)/NETWORKDAYS($D39,$E39,Libur!$A$2:$A$38),0)</f>
        <v>0</v>
      </c>
      <c r="AS39" s="53">
        <f>IF(AND($D39&lt;=AS$17,$E39&gt;=AS$16),$C39*NETWORKDAYS(MAX($D39,AS$16),MIN($E39,AS$17),Libur!$A$2:$A$38)/NETWORKDAYS($D39,$E39,Libur!$A$2:$A$38),0)</f>
        <v>0</v>
      </c>
      <c r="AT39" s="53">
        <f>IF(AND($D39&lt;=AT$17,$E39&gt;=AT$16),$C39*NETWORKDAYS(MAX($D39,AT$16),MIN($E39,AT$17),Libur!$A$2:$A$38)/NETWORKDAYS($D39,$E39,Libur!$A$2:$A$38),0)</f>
        <v>0</v>
      </c>
      <c r="AU39" s="53">
        <f>IF(AND($D39&lt;=AU$17,$E39&gt;=AU$16),$C39*NETWORKDAYS(MAX($D39,AU$16),MIN($E39,AU$17),Libur!$A$2:$A$38)/NETWORKDAYS($D39,$E39,Libur!$A$2:$A$38),0)</f>
        <v>0</v>
      </c>
      <c r="AV39" s="53">
        <f>IF(AND($D39&lt;=AV$17,$E39&gt;=AV$16),$C39*NETWORKDAYS(MAX($D39,AV$16),MIN($E39,AV$17),Libur!$A$2:$A$38)/NETWORKDAYS($D39,$E39,Libur!$A$2:$A$38),0)</f>
        <v>0</v>
      </c>
      <c r="AW39" s="53">
        <f>IF(AND($D39&lt;=AW$17,$E39&gt;=AW$16),$C39*NETWORKDAYS(MAX($D39,AW$16),MIN($E39,AW$17),Libur!$A$2:$A$38)/NETWORKDAYS($D39,$E39,Libur!$A$2:$A$38),0)</f>
        <v>0</v>
      </c>
      <c r="AX39" s="53">
        <f>IF(AND($D39&lt;=AX$17,$E39&gt;=AX$16),$C39*NETWORKDAYS(MAX($D39,AX$16),MIN($E39,AX$17),Libur!$A$2:$A$38)/NETWORKDAYS($D39,$E39,Libur!$A$2:$A$38),0)</f>
        <v>0</v>
      </c>
      <c r="AY39" s="53">
        <f>IF(AND($D39&lt;=AY$17,$E39&gt;=AY$16),$C39*NETWORKDAYS(MAX($D39,AY$16),MIN($E39,AY$17),Libur!$A$2:$A$38)/NETWORKDAYS($D39,$E39,Libur!$A$2:$A$38),0)</f>
        <v>0</v>
      </c>
      <c r="AZ39" s="53">
        <f>IF(AND($D39&lt;=AZ$17,$E39&gt;=AZ$16),$C39*NETWORKDAYS(MAX($D39,AZ$16),MIN($E39,AZ$17),Libur!$A$2:$A$38)/NETWORKDAYS($D39,$E39,Libur!$A$2:$A$38),0)</f>
        <v>0</v>
      </c>
      <c r="BA39" s="53">
        <f>IF(AND($D39&lt;=BA$17,$E39&gt;=BA$16),$C39*NETWORKDAYS(MAX($D39,BA$16),MIN($E39,BA$17),Libur!$A$2:$A$38)/NETWORKDAYS($D39,$E39,Libur!$A$2:$A$38),0)</f>
        <v>0</v>
      </c>
      <c r="BB39" s="53">
        <f>IF(AND($D39&lt;=BB$17,$E39&gt;=BB$16),$C39*NETWORKDAYS(MAX($D39,BB$16),MIN($E39,BB$17),Libur!$A$2:$A$38)/NETWORKDAYS($D39,$E39,Libur!$A$2:$A$38),0)</f>
        <v>0</v>
      </c>
      <c r="BC39" s="53">
        <f>IF(AND($D39&lt;=BC$17,$E39&gt;=BC$16),$C39*NETWORKDAYS(MAX($D39,BC$16),MIN($E39,BC$17),Libur!$A$2:$A$38)/NETWORKDAYS($D39,$E39,Libur!$A$2:$A$38),0)</f>
        <v>0</v>
      </c>
      <c r="BD39" s="53">
        <f>IF(AND($D39&lt;=BD$17,$E39&gt;=BD$16),$C39*NETWORKDAYS(MAX($D39,BD$16),MIN($E39,BD$17),Libur!$A$2:$A$38)/NETWORKDAYS($D39,$E39,Libur!$A$2:$A$38),0)</f>
        <v>0</v>
      </c>
      <c r="BE39" s="53">
        <f>IF(AND($D39&lt;=BE$17,$E39&gt;=BE$16),$C39*NETWORKDAYS(MAX($D39,BE$16),MIN($E39,BE$17),Libur!$A$2:$A$38)/NETWORKDAYS($D39,$E39,Libur!$A$2:$A$38),0)</f>
        <v>0</v>
      </c>
      <c r="BF39" s="53">
        <f>IF(AND($D39&lt;=BF$17,$E39&gt;=BF$16),$C39*NETWORKDAYS(MAX($D39,BF$16),MIN($E39,BF$17),Libur!$A$2:$A$38)/NETWORKDAYS($D39,$E39,Libur!$A$2:$A$38),0)</f>
        <v>0</v>
      </c>
      <c r="BG39" s="53">
        <f>IF(AND($D39&lt;=BG$17,$E39&gt;=BG$16),$C39*NETWORKDAYS(MAX($D39,BG$16),MIN($E39,BG$17),Libur!$A$2:$A$38)/NETWORKDAYS($D39,$E39,Libur!$A$2:$A$38),0)</f>
        <v>0</v>
      </c>
      <c r="BH39" s="53">
        <f>IF(AND($D39&lt;=BH$17,$E39&gt;=BH$16),$C39*NETWORKDAYS(MAX($D39,BH$16),MIN($E39,BH$17),Libur!$A$2:$A$38)/NETWORKDAYS($D39,$E39,Libur!$A$2:$A$38),0)</f>
        <v>0</v>
      </c>
      <c r="BI39" s="53">
        <f>IF(AND($D39&lt;=BI$17,$E39&gt;=BI$16),$C39*NETWORKDAYS(MAX($D39,BI$16),MIN($E39,BI$17),Libur!$A$2:$A$38)/NETWORKDAYS($D39,$E39,Libur!$A$2:$A$38),0)</f>
        <v>0</v>
      </c>
      <c r="BJ39" s="53">
        <f>IF(AND($D39&lt;=BJ$17,$E39&gt;=BJ$16),$C39*NETWORKDAYS(MAX($D39,BJ$16),MIN($E39,BJ$17),Libur!$A$2:$A$38)/NETWORKDAYS($D39,$E39,Libur!$A$2:$A$38),0)</f>
        <v>0</v>
      </c>
      <c r="BK39" s="53">
        <f>IF(AND($D39&lt;=BK$17,$E39&gt;=BK$16),$C39*NETWORKDAYS(MAX($D39,BK$16),MIN($E39,BK$17),Libur!$A$2:$A$38)/NETWORKDAYS($D39,$E39,Libur!$A$2:$A$38),0)</f>
        <v>0</v>
      </c>
    </row>
    <row r="40" spans="1:63" x14ac:dyDescent="0.25">
      <c r="A40" s="45"/>
      <c r="B40" s="46" t="s">
        <v>92</v>
      </c>
      <c r="C40" s="48">
        <v>0.15</v>
      </c>
      <c r="D40" s="47">
        <v>46189</v>
      </c>
      <c r="E40" s="47">
        <v>46212</v>
      </c>
      <c r="F40" s="7">
        <f>C40</f>
        <v>0.15</v>
      </c>
      <c r="G40" s="48">
        <f>SUM(P40:AZ40)</f>
        <v>0.15</v>
      </c>
      <c r="H40" s="49">
        <f>NETWORKDAYS(D40,E40,Libur!$A$2:$A$56)</f>
        <v>17</v>
      </c>
      <c r="I40" s="48">
        <f>IF($C$8&gt;E40,100/100,IF($C$8&lt;=D40,0,(NETWORKDAYS(D40,$C$8)/NETWORKDAYS(D40,E40))))</f>
        <v>0</v>
      </c>
      <c r="J40" s="48">
        <f>I40*F40</f>
        <v>0</v>
      </c>
      <c r="K40" s="48">
        <v>0</v>
      </c>
      <c r="L40" s="48">
        <f>C40*K40</f>
        <v>0</v>
      </c>
      <c r="M40" s="48">
        <f>L40-J40</f>
        <v>0</v>
      </c>
      <c r="N40" s="51">
        <f>C40</f>
        <v>0.15</v>
      </c>
      <c r="O40" s="52">
        <f>SUM(P40:BK40)</f>
        <v>0.15</v>
      </c>
      <c r="P40" s="53">
        <f>IF(AND($D40&lt;=P$17,$E40&gt;=P$16),$C40*NETWORKDAYS(MAX($D40,P$16),MIN($E40,P$17),Libur!$A$2:$A$38)/NETWORKDAYS($D40,$E40,Libur!$A$2:$A$38),0)</f>
        <v>0</v>
      </c>
      <c r="Q40" s="53">
        <f>IF(AND($D40&lt;=Q$17,$E40&gt;=Q$16),$C40*NETWORKDAYS(MAX($D40,Q$16),MIN($E40,Q$17),Libur!$A$2:$A$38)/NETWORKDAYS($D40,$E40,Libur!$A$2:$A$38),0)</f>
        <v>0</v>
      </c>
      <c r="R40" s="53">
        <f>IF(AND($D40&lt;=R$17,$E40&gt;=R$16),$C40*NETWORKDAYS(MAX($D40,R$16),MIN($E40,R$17),Libur!$A$2:$A$38)/NETWORKDAYS($D40,$E40,Libur!$A$2:$A$38),0)</f>
        <v>0</v>
      </c>
      <c r="S40" s="53">
        <f>IF(AND($D40&lt;=S$17,$E40&gt;=S$16),$C40*NETWORKDAYS(MAX($D40,S$16),MIN($E40,S$17),Libur!$A$2:$A$38)/NETWORKDAYS($D40,$E40,Libur!$A$2:$A$38),0)</f>
        <v>0</v>
      </c>
      <c r="T40" s="53">
        <f>IF(AND($D40&lt;=T$17,$E40&gt;=T$16),$C40*NETWORKDAYS(MAX($D40,T$16),MIN($E40,T$17),Libur!$A$2:$A$38)/NETWORKDAYS($D40,$E40,Libur!$A$2:$A$38),0)</f>
        <v>0</v>
      </c>
      <c r="U40" s="53">
        <f>IF(AND($D40&lt;=U$17,$E40&gt;=U$16),$C40*NETWORKDAYS(MAX($D40,U$16),MIN($E40,U$17),Libur!$A$2:$A$38)/NETWORKDAYS($D40,$E40,Libur!$A$2:$A$38),0)</f>
        <v>0</v>
      </c>
      <c r="V40" s="53">
        <f>IF(AND($D40&lt;=V$17,$E40&gt;=V$16),$C40*NETWORKDAYS(MAX($D40,V$16),MIN($E40,V$17),Libur!$A$2:$A$38)/NETWORKDAYS($D40,$E40,Libur!$A$2:$A$38),0)</f>
        <v>3.3333333333333333E-2</v>
      </c>
      <c r="W40" s="53">
        <f>IF(AND($D40&lt;=W$17,$E40&gt;=W$16),$C40*NETWORKDAYS(MAX($D40,W$16),MIN($E40,W$17),Libur!$A$2:$A$38)/NETWORKDAYS($D40,$E40,Libur!$A$2:$A$38),0)</f>
        <v>4.1666666666666664E-2</v>
      </c>
      <c r="X40" s="53">
        <f>IF(AND($D40&lt;=X$17,$E40&gt;=X$16),$C40*NETWORKDAYS(MAX($D40,X$16),MIN($E40,X$17),Libur!$A$2:$A$38)/NETWORKDAYS($D40,$E40,Libur!$A$2:$A$38),0)</f>
        <v>4.1666666666666664E-2</v>
      </c>
      <c r="Y40" s="53">
        <f>IF(AND($D40&lt;=Y$17,$E40&gt;=Y$16),$C40*NETWORKDAYS(MAX($D40,Y$16),MIN($E40,Y$17),Libur!$A$2:$A$38)/NETWORKDAYS($D40,$E40,Libur!$A$2:$A$38),0)</f>
        <v>3.3333333333333333E-2</v>
      </c>
      <c r="Z40" s="53">
        <f>IF(AND($D40&lt;=Z$17,$E40&gt;=Z$16),$C40*NETWORKDAYS(MAX($D40,Z$16),MIN($E40,Z$17),Libur!$A$2:$A$38)/NETWORKDAYS($D40,$E40,Libur!$A$2:$A$38),0)</f>
        <v>0</v>
      </c>
      <c r="AA40" s="53">
        <f>IF(AND($D40&lt;=AA$17,$E40&gt;=AA$16),$C40*NETWORKDAYS(MAX($D40,AA$16),MIN($E40,AA$17),Libur!$A$2:$A$38)/NETWORKDAYS($D40,$E40,Libur!$A$2:$A$38),0)</f>
        <v>0</v>
      </c>
      <c r="AB40" s="53">
        <f>IF(AND($D40&lt;=AB$17,$E40&gt;=AB$16),$C40*NETWORKDAYS(MAX($D40,AB$16),MIN($E40,AB$17),Libur!$A$2:$A$38)/NETWORKDAYS($D40,$E40,Libur!$A$2:$A$38),0)</f>
        <v>0</v>
      </c>
      <c r="AC40" s="53">
        <f>IF(AND($D40&lt;=AC$17,$E40&gt;=AC$16),$C40*NETWORKDAYS(MAX($D40,AC$16),MIN($E40,AC$17),Libur!$A$2:$A$38)/NETWORKDAYS($D40,$E40,Libur!$A$2:$A$38),0)</f>
        <v>0</v>
      </c>
      <c r="AD40" s="53">
        <f>IF(AND($D40&lt;=AD$17,$E40&gt;=AD$16),$C40*NETWORKDAYS(MAX($D40,AD$16),MIN($E40,AD$17),Libur!$A$2:$A$38)/NETWORKDAYS($D40,$E40,Libur!$A$2:$A$38),0)</f>
        <v>0</v>
      </c>
      <c r="AE40" s="53">
        <f>IF(AND($D40&lt;=AE$17,$E40&gt;=AE$16),$C40*NETWORKDAYS(MAX($D40,AE$16),MIN($E40,AE$17),Libur!$A$2:$A$38)/NETWORKDAYS($D40,$E40,Libur!$A$2:$A$38),0)</f>
        <v>0</v>
      </c>
      <c r="AF40" s="53">
        <f>IF(AND($D40&lt;=AF$17,$E40&gt;=AF$16),$C40*NETWORKDAYS(MAX($D40,AF$16),MIN($E40,AF$17),Libur!$A$2:$A$38)/NETWORKDAYS($D40,$E40,Libur!$A$2:$A$38),0)</f>
        <v>0</v>
      </c>
      <c r="AG40" s="53">
        <f>IF(AND($D40&lt;=AG$17,$E40&gt;=AG$16),$C40*NETWORKDAYS(MAX($D40,AG$16),MIN($E40,AG$17),Libur!$A$2:$A$38)/NETWORKDAYS($D40,$E40,Libur!$A$2:$A$38),0)</f>
        <v>0</v>
      </c>
      <c r="AH40" s="53">
        <f>IF(AND($D40&lt;=AH$17,$E40&gt;=AH$16),$C40*NETWORKDAYS(MAX($D40,AH$16),MIN($E40,AH$17),Libur!$A$2:$A$38)/NETWORKDAYS($D40,$E40,Libur!$A$2:$A$38),0)</f>
        <v>0</v>
      </c>
      <c r="AI40" s="53">
        <f>IF(AND($D40&lt;=AI$17,$E40&gt;=AI$16),$C40*NETWORKDAYS(MAX($D40,AI$16),MIN($E40,AI$17),Libur!$A$2:$A$38)/NETWORKDAYS($D40,$E40,Libur!$A$2:$A$38),0)</f>
        <v>0</v>
      </c>
      <c r="AJ40" s="53">
        <f>IF(AND($D40&lt;=AJ$17,$E40&gt;=AJ$16),$C40*NETWORKDAYS(MAX($D40,AJ$16),MIN($E40,AJ$17),Libur!$A$2:$A$38)/NETWORKDAYS($D40,$E40,Libur!$A$2:$A$38),0)</f>
        <v>0</v>
      </c>
      <c r="AK40" s="53">
        <f>IF(AND($D40&lt;=AK$17,$E40&gt;=AK$16),$C40*NETWORKDAYS(MAX($D40,AK$16),MIN($E40,AK$17),Libur!$A$2:$A$38)/NETWORKDAYS($D40,$E40,Libur!$A$2:$A$38),0)</f>
        <v>0</v>
      </c>
      <c r="AL40" s="53">
        <f>IF(AND($D40&lt;=AL$17,$E40&gt;=AL$16),$C40*NETWORKDAYS(MAX($D40,AL$16),MIN($E40,AL$17),Libur!$A$2:$A$38)/NETWORKDAYS($D40,$E40,Libur!$A$2:$A$38),0)</f>
        <v>0</v>
      </c>
      <c r="AM40" s="53">
        <f>IF(AND($D40&lt;=AM$17,$E40&gt;=AM$16),$C40*NETWORKDAYS(MAX($D40,AM$16),MIN($E40,AM$17),Libur!$A$2:$A$38)/NETWORKDAYS($D40,$E40,Libur!$A$2:$A$38),0)</f>
        <v>0</v>
      </c>
      <c r="AN40" s="53">
        <f>IF(AND($D40&lt;=AN$17,$E40&gt;=AN$16),$C40*NETWORKDAYS(MAX($D40,AN$16),MIN($E40,AN$17),Libur!$A$2:$A$38)/NETWORKDAYS($D40,$E40,Libur!$A$2:$A$38),0)</f>
        <v>0</v>
      </c>
      <c r="AO40" s="53">
        <f>IF(AND($D40&lt;=AO$17,$E40&gt;=AO$16),$C40*NETWORKDAYS(MAX($D40,AO$16),MIN($E40,AO$17),Libur!$A$2:$A$38)/NETWORKDAYS($D40,$E40,Libur!$A$2:$A$38),0)</f>
        <v>0</v>
      </c>
      <c r="AP40" s="53">
        <f>IF(AND($D40&lt;=AP$17,$E40&gt;=AP$16),$C40*NETWORKDAYS(MAX($D40,AP$16),MIN($E40,AP$17),Libur!$A$2:$A$38)/NETWORKDAYS($D40,$E40,Libur!$A$2:$A$38),0)</f>
        <v>0</v>
      </c>
      <c r="AQ40" s="53">
        <f>IF(AND($D40&lt;=AQ$17,$E40&gt;=AQ$16),$C40*NETWORKDAYS(MAX($D40,AQ$16),MIN($E40,AQ$17),Libur!$A$2:$A$38)/NETWORKDAYS($D40,$E40,Libur!$A$2:$A$38),0)</f>
        <v>0</v>
      </c>
      <c r="AR40" s="53">
        <f>IF(AND($D40&lt;=AR$17,$E40&gt;=AR$16),$C40*NETWORKDAYS(MAX($D40,AR$16),MIN($E40,AR$17),Libur!$A$2:$A$38)/NETWORKDAYS($D40,$E40,Libur!$A$2:$A$38),0)</f>
        <v>0</v>
      </c>
      <c r="AS40" s="53">
        <f>IF(AND($D40&lt;=AS$17,$E40&gt;=AS$16),$C40*NETWORKDAYS(MAX($D40,AS$16),MIN($E40,AS$17),Libur!$A$2:$A$38)/NETWORKDAYS($D40,$E40,Libur!$A$2:$A$38),0)</f>
        <v>0</v>
      </c>
      <c r="AT40" s="53">
        <f>IF(AND($D40&lt;=AT$17,$E40&gt;=AT$16),$C40*NETWORKDAYS(MAX($D40,AT$16),MIN($E40,AT$17),Libur!$A$2:$A$38)/NETWORKDAYS($D40,$E40,Libur!$A$2:$A$38),0)</f>
        <v>0</v>
      </c>
      <c r="AU40" s="53">
        <f>IF(AND($D40&lt;=AU$17,$E40&gt;=AU$16),$C40*NETWORKDAYS(MAX($D40,AU$16),MIN($E40,AU$17),Libur!$A$2:$A$38)/NETWORKDAYS($D40,$E40,Libur!$A$2:$A$38),0)</f>
        <v>0</v>
      </c>
      <c r="AV40" s="53">
        <f>IF(AND($D40&lt;=AV$17,$E40&gt;=AV$16),$C40*NETWORKDAYS(MAX($D40,AV$16),MIN($E40,AV$17),Libur!$A$2:$A$38)/NETWORKDAYS($D40,$E40,Libur!$A$2:$A$38),0)</f>
        <v>0</v>
      </c>
      <c r="AW40" s="53">
        <f>IF(AND($D40&lt;=AW$17,$E40&gt;=AW$16),$C40*NETWORKDAYS(MAX($D40,AW$16),MIN($E40,AW$17),Libur!$A$2:$A$38)/NETWORKDAYS($D40,$E40,Libur!$A$2:$A$38),0)</f>
        <v>0</v>
      </c>
      <c r="AX40" s="53">
        <f>IF(AND($D40&lt;=AX$17,$E40&gt;=AX$16),$C40*NETWORKDAYS(MAX($D40,AX$16),MIN($E40,AX$17),Libur!$A$2:$A$38)/NETWORKDAYS($D40,$E40,Libur!$A$2:$A$38),0)</f>
        <v>0</v>
      </c>
      <c r="AY40" s="53">
        <f>IF(AND($D40&lt;=AY$17,$E40&gt;=AY$16),$C40*NETWORKDAYS(MAX($D40,AY$16),MIN($E40,AY$17),Libur!$A$2:$A$38)/NETWORKDAYS($D40,$E40,Libur!$A$2:$A$38),0)</f>
        <v>0</v>
      </c>
      <c r="AZ40" s="53">
        <f>IF(AND($D40&lt;=AZ$17,$E40&gt;=AZ$16),$C40*NETWORKDAYS(MAX($D40,AZ$16),MIN($E40,AZ$17),Libur!$A$2:$A$38)/NETWORKDAYS($D40,$E40,Libur!$A$2:$A$38),0)</f>
        <v>0</v>
      </c>
      <c r="BA40" s="53">
        <f>IF(AND($D40&lt;=BA$17,$E40&gt;=BA$16),$C40*NETWORKDAYS(MAX($D40,BA$16),MIN($E40,BA$17),Libur!$A$2:$A$38)/NETWORKDAYS($D40,$E40,Libur!$A$2:$A$38),0)</f>
        <v>0</v>
      </c>
      <c r="BB40" s="53">
        <f>IF(AND($D40&lt;=BB$17,$E40&gt;=BB$16),$C40*NETWORKDAYS(MAX($D40,BB$16),MIN($E40,BB$17),Libur!$A$2:$A$38)/NETWORKDAYS($D40,$E40,Libur!$A$2:$A$38),0)</f>
        <v>0</v>
      </c>
      <c r="BC40" s="53">
        <f>IF(AND($D40&lt;=BC$17,$E40&gt;=BC$16),$C40*NETWORKDAYS(MAX($D40,BC$16),MIN($E40,BC$17),Libur!$A$2:$A$38)/NETWORKDAYS($D40,$E40,Libur!$A$2:$A$38),0)</f>
        <v>0</v>
      </c>
      <c r="BD40" s="53">
        <f>IF(AND($D40&lt;=BD$17,$E40&gt;=BD$16),$C40*NETWORKDAYS(MAX($D40,BD$16),MIN($E40,BD$17),Libur!$A$2:$A$38)/NETWORKDAYS($D40,$E40,Libur!$A$2:$A$38),0)</f>
        <v>0</v>
      </c>
      <c r="BE40" s="53">
        <f>IF(AND($D40&lt;=BE$17,$E40&gt;=BE$16),$C40*NETWORKDAYS(MAX($D40,BE$16),MIN($E40,BE$17),Libur!$A$2:$A$38)/NETWORKDAYS($D40,$E40,Libur!$A$2:$A$38),0)</f>
        <v>0</v>
      </c>
      <c r="BF40" s="53">
        <f>IF(AND($D40&lt;=BF$17,$E40&gt;=BF$16),$C40*NETWORKDAYS(MAX($D40,BF$16),MIN($E40,BF$17),Libur!$A$2:$A$38)/NETWORKDAYS($D40,$E40,Libur!$A$2:$A$38),0)</f>
        <v>0</v>
      </c>
      <c r="BG40" s="53">
        <f>IF(AND($D40&lt;=BG$17,$E40&gt;=BG$16),$C40*NETWORKDAYS(MAX($D40,BG$16),MIN($E40,BG$17),Libur!$A$2:$A$38)/NETWORKDAYS($D40,$E40,Libur!$A$2:$A$38),0)</f>
        <v>0</v>
      </c>
      <c r="BH40" s="53">
        <f>IF(AND($D40&lt;=BH$17,$E40&gt;=BH$16),$C40*NETWORKDAYS(MAX($D40,BH$16),MIN($E40,BH$17),Libur!$A$2:$A$38)/NETWORKDAYS($D40,$E40,Libur!$A$2:$A$38),0)</f>
        <v>0</v>
      </c>
      <c r="BI40" s="53">
        <f>IF(AND($D40&lt;=BI$17,$E40&gt;=BI$16),$C40*NETWORKDAYS(MAX($D40,BI$16),MIN($E40,BI$17),Libur!$A$2:$A$38)/NETWORKDAYS($D40,$E40,Libur!$A$2:$A$38),0)</f>
        <v>0</v>
      </c>
      <c r="BJ40" s="53">
        <f>IF(AND($D40&lt;=BJ$17,$E40&gt;=BJ$16),$C40*NETWORKDAYS(MAX($D40,BJ$16),MIN($E40,BJ$17),Libur!$A$2:$A$38)/NETWORKDAYS($D40,$E40,Libur!$A$2:$A$38),0)</f>
        <v>0</v>
      </c>
      <c r="BK40" s="53">
        <f>IF(AND($D40&lt;=BK$17,$E40&gt;=BK$16),$C40*NETWORKDAYS(MAX($D40,BK$16),MIN($E40,BK$17),Libur!$A$2:$A$38)/NETWORKDAYS($D40,$E40,Libur!$A$2:$A$38),0)</f>
        <v>0</v>
      </c>
    </row>
    <row r="41" spans="1:63" x14ac:dyDescent="0.25">
      <c r="A41" s="45"/>
      <c r="B41" s="46" t="s">
        <v>93</v>
      </c>
      <c r="C41" s="48">
        <v>0.12</v>
      </c>
      <c r="D41" s="47">
        <v>46213</v>
      </c>
      <c r="E41" s="47">
        <v>46219</v>
      </c>
      <c r="F41" s="7">
        <f>C41</f>
        <v>0.12</v>
      </c>
      <c r="G41" s="48">
        <f>SUM(P41:AZ41)</f>
        <v>0.12</v>
      </c>
      <c r="H41" s="49">
        <f>NETWORKDAYS(D41,E41,Libur!$A$2:$A$56)</f>
        <v>5</v>
      </c>
      <c r="I41" s="48">
        <f>IF($C$8&gt;E41,100/100,IF($C$8&lt;=D41,0,(NETWORKDAYS(D41,$C$8)/NETWORKDAYS(D41,E41))))</f>
        <v>0</v>
      </c>
      <c r="J41" s="48">
        <f>I41*F41</f>
        <v>0</v>
      </c>
      <c r="K41" s="48">
        <v>0</v>
      </c>
      <c r="L41" s="48">
        <f>C41*K41</f>
        <v>0</v>
      </c>
      <c r="M41" s="48">
        <f>L41-J41</f>
        <v>0</v>
      </c>
      <c r="N41" s="51">
        <f>C41</f>
        <v>0.12</v>
      </c>
      <c r="O41" s="52">
        <f>SUM(P41:BK41)</f>
        <v>0.12</v>
      </c>
      <c r="P41" s="53">
        <f>IF(AND($D41&lt;=P$17,$E41&gt;=P$16),$C41*NETWORKDAYS(MAX($D41,P$16),MIN($E41,P$17),Libur!$A$2:$A$38)/NETWORKDAYS($D41,$E41,Libur!$A$2:$A$38),0)</f>
        <v>0</v>
      </c>
      <c r="Q41" s="53">
        <f>IF(AND($D41&lt;=Q$17,$E41&gt;=Q$16),$C41*NETWORKDAYS(MAX($D41,Q$16),MIN($E41,Q$17),Libur!$A$2:$A$38)/NETWORKDAYS($D41,$E41,Libur!$A$2:$A$38),0)</f>
        <v>0</v>
      </c>
      <c r="R41" s="53">
        <f>IF(AND($D41&lt;=R$17,$E41&gt;=R$16),$C41*NETWORKDAYS(MAX($D41,R$16),MIN($E41,R$17),Libur!$A$2:$A$38)/NETWORKDAYS($D41,$E41,Libur!$A$2:$A$38),0)</f>
        <v>0</v>
      </c>
      <c r="S41" s="53">
        <f>IF(AND($D41&lt;=S$17,$E41&gt;=S$16),$C41*NETWORKDAYS(MAX($D41,S$16),MIN($E41,S$17),Libur!$A$2:$A$38)/NETWORKDAYS($D41,$E41,Libur!$A$2:$A$38),0)</f>
        <v>0</v>
      </c>
      <c r="T41" s="53">
        <f>IF(AND($D41&lt;=T$17,$E41&gt;=T$16),$C41*NETWORKDAYS(MAX($D41,T$16),MIN($E41,T$17),Libur!$A$2:$A$38)/NETWORKDAYS($D41,$E41,Libur!$A$2:$A$38),0)</f>
        <v>0</v>
      </c>
      <c r="U41" s="53">
        <f>IF(AND($D41&lt;=U$17,$E41&gt;=U$16),$C41*NETWORKDAYS(MAX($D41,U$16),MIN($E41,U$17),Libur!$A$2:$A$38)/NETWORKDAYS($D41,$E41,Libur!$A$2:$A$38),0)</f>
        <v>0</v>
      </c>
      <c r="V41" s="53">
        <f>IF(AND($D41&lt;=V$17,$E41&gt;=V$16),$C41*NETWORKDAYS(MAX($D41,V$16),MIN($E41,V$17),Libur!$A$2:$A$38)/NETWORKDAYS($D41,$E41,Libur!$A$2:$A$38),0)</f>
        <v>0</v>
      </c>
      <c r="W41" s="53">
        <f>IF(AND($D41&lt;=W$17,$E41&gt;=W$16),$C41*NETWORKDAYS(MAX($D41,W$16),MIN($E41,W$17),Libur!$A$2:$A$38)/NETWORKDAYS($D41,$E41,Libur!$A$2:$A$38),0)</f>
        <v>0</v>
      </c>
      <c r="X41" s="53">
        <f>IF(AND($D41&lt;=X$17,$E41&gt;=X$16),$C41*NETWORKDAYS(MAX($D41,X$16),MIN($E41,X$17),Libur!$A$2:$A$38)/NETWORKDAYS($D41,$E41,Libur!$A$2:$A$38),0)</f>
        <v>0</v>
      </c>
      <c r="Y41" s="53">
        <f>IF(AND($D41&lt;=Y$17,$E41&gt;=Y$16),$C41*NETWORKDAYS(MAX($D41,Y$16),MIN($E41,Y$17),Libur!$A$2:$A$38)/NETWORKDAYS($D41,$E41,Libur!$A$2:$A$38),0)</f>
        <v>2.4E-2</v>
      </c>
      <c r="Z41" s="53">
        <f>IF(AND($D41&lt;=Z$17,$E41&gt;=Z$16),$C41*NETWORKDAYS(MAX($D41,Z$16),MIN($E41,Z$17),Libur!$A$2:$A$38)/NETWORKDAYS($D41,$E41,Libur!$A$2:$A$38),0)</f>
        <v>9.6000000000000002E-2</v>
      </c>
      <c r="AA41" s="53">
        <f>IF(AND($D41&lt;=AA$17,$E41&gt;=AA$16),$C41*NETWORKDAYS(MAX($D41,AA$16),MIN($E41,AA$17),Libur!$A$2:$A$38)/NETWORKDAYS($D41,$E41,Libur!$A$2:$A$38),0)</f>
        <v>0</v>
      </c>
      <c r="AB41" s="53">
        <f>IF(AND($D41&lt;=AB$17,$E41&gt;=AB$16),$C41*NETWORKDAYS(MAX($D41,AB$16),MIN($E41,AB$17),Libur!$A$2:$A$38)/NETWORKDAYS($D41,$E41,Libur!$A$2:$A$38),0)</f>
        <v>0</v>
      </c>
      <c r="AC41" s="53">
        <f>IF(AND($D41&lt;=AC$17,$E41&gt;=AC$16),$C41*NETWORKDAYS(MAX($D41,AC$16),MIN($E41,AC$17),Libur!$A$2:$A$38)/NETWORKDAYS($D41,$E41,Libur!$A$2:$A$38),0)</f>
        <v>0</v>
      </c>
      <c r="AD41" s="53">
        <f>IF(AND($D41&lt;=AD$17,$E41&gt;=AD$16),$C41*NETWORKDAYS(MAX($D41,AD$16),MIN($E41,AD$17),Libur!$A$2:$A$38)/NETWORKDAYS($D41,$E41,Libur!$A$2:$A$38),0)</f>
        <v>0</v>
      </c>
      <c r="AE41" s="53">
        <f>IF(AND($D41&lt;=AE$17,$E41&gt;=AE$16),$C41*NETWORKDAYS(MAX($D41,AE$16),MIN($E41,AE$17),Libur!$A$2:$A$38)/NETWORKDAYS($D41,$E41,Libur!$A$2:$A$38),0)</f>
        <v>0</v>
      </c>
      <c r="AF41" s="53">
        <f>IF(AND($D41&lt;=AF$17,$E41&gt;=AF$16),$C41*NETWORKDAYS(MAX($D41,AF$16),MIN($E41,AF$17),Libur!$A$2:$A$38)/NETWORKDAYS($D41,$E41,Libur!$A$2:$A$38),0)</f>
        <v>0</v>
      </c>
      <c r="AG41" s="53">
        <f>IF(AND($D41&lt;=AG$17,$E41&gt;=AG$16),$C41*NETWORKDAYS(MAX($D41,AG$16),MIN($E41,AG$17),Libur!$A$2:$A$38)/NETWORKDAYS($D41,$E41,Libur!$A$2:$A$38),0)</f>
        <v>0</v>
      </c>
      <c r="AH41" s="53">
        <f>IF(AND($D41&lt;=AH$17,$E41&gt;=AH$16),$C41*NETWORKDAYS(MAX($D41,AH$16),MIN($E41,AH$17),Libur!$A$2:$A$38)/NETWORKDAYS($D41,$E41,Libur!$A$2:$A$38),0)</f>
        <v>0</v>
      </c>
      <c r="AI41" s="53">
        <f>IF(AND($D41&lt;=AI$17,$E41&gt;=AI$16),$C41*NETWORKDAYS(MAX($D41,AI$16),MIN($E41,AI$17),Libur!$A$2:$A$38)/NETWORKDAYS($D41,$E41,Libur!$A$2:$A$38),0)</f>
        <v>0</v>
      </c>
      <c r="AJ41" s="53">
        <f>IF(AND($D41&lt;=AJ$17,$E41&gt;=AJ$16),$C41*NETWORKDAYS(MAX($D41,AJ$16),MIN($E41,AJ$17),Libur!$A$2:$A$38)/NETWORKDAYS($D41,$E41,Libur!$A$2:$A$38),0)</f>
        <v>0</v>
      </c>
      <c r="AK41" s="53">
        <f>IF(AND($D41&lt;=AK$17,$E41&gt;=AK$16),$C41*NETWORKDAYS(MAX($D41,AK$16),MIN($E41,AK$17),Libur!$A$2:$A$38)/NETWORKDAYS($D41,$E41,Libur!$A$2:$A$38),0)</f>
        <v>0</v>
      </c>
      <c r="AL41" s="53">
        <f>IF(AND($D41&lt;=AL$17,$E41&gt;=AL$16),$C41*NETWORKDAYS(MAX($D41,AL$16),MIN($E41,AL$17),Libur!$A$2:$A$38)/NETWORKDAYS($D41,$E41,Libur!$A$2:$A$38),0)</f>
        <v>0</v>
      </c>
      <c r="AM41" s="53">
        <f>IF(AND($D41&lt;=AM$17,$E41&gt;=AM$16),$C41*NETWORKDAYS(MAX($D41,AM$16),MIN($E41,AM$17),Libur!$A$2:$A$38)/NETWORKDAYS($D41,$E41,Libur!$A$2:$A$38),0)</f>
        <v>0</v>
      </c>
      <c r="AN41" s="53">
        <f>IF(AND($D41&lt;=AN$17,$E41&gt;=AN$16),$C41*NETWORKDAYS(MAX($D41,AN$16),MIN($E41,AN$17),Libur!$A$2:$A$38)/NETWORKDAYS($D41,$E41,Libur!$A$2:$A$38),0)</f>
        <v>0</v>
      </c>
      <c r="AO41" s="53">
        <f>IF(AND($D41&lt;=AO$17,$E41&gt;=AO$16),$C41*NETWORKDAYS(MAX($D41,AO$16),MIN($E41,AO$17),Libur!$A$2:$A$38)/NETWORKDAYS($D41,$E41,Libur!$A$2:$A$38),0)</f>
        <v>0</v>
      </c>
      <c r="AP41" s="53">
        <f>IF(AND($D41&lt;=AP$17,$E41&gt;=AP$16),$C41*NETWORKDAYS(MAX($D41,AP$16),MIN($E41,AP$17),Libur!$A$2:$A$38)/NETWORKDAYS($D41,$E41,Libur!$A$2:$A$38),0)</f>
        <v>0</v>
      </c>
      <c r="AQ41" s="53">
        <f>IF(AND($D41&lt;=AQ$17,$E41&gt;=AQ$16),$C41*NETWORKDAYS(MAX($D41,AQ$16),MIN($E41,AQ$17),Libur!$A$2:$A$38)/NETWORKDAYS($D41,$E41,Libur!$A$2:$A$38),0)</f>
        <v>0</v>
      </c>
      <c r="AR41" s="53">
        <f>IF(AND($D41&lt;=AR$17,$E41&gt;=AR$16),$C41*NETWORKDAYS(MAX($D41,AR$16),MIN($E41,AR$17),Libur!$A$2:$A$38)/NETWORKDAYS($D41,$E41,Libur!$A$2:$A$38),0)</f>
        <v>0</v>
      </c>
      <c r="AS41" s="53">
        <f>IF(AND($D41&lt;=AS$17,$E41&gt;=AS$16),$C41*NETWORKDAYS(MAX($D41,AS$16),MIN($E41,AS$17),Libur!$A$2:$A$38)/NETWORKDAYS($D41,$E41,Libur!$A$2:$A$38),0)</f>
        <v>0</v>
      </c>
      <c r="AT41" s="53">
        <f>IF(AND($D41&lt;=AT$17,$E41&gt;=AT$16),$C41*NETWORKDAYS(MAX($D41,AT$16),MIN($E41,AT$17),Libur!$A$2:$A$38)/NETWORKDAYS($D41,$E41,Libur!$A$2:$A$38),0)</f>
        <v>0</v>
      </c>
      <c r="AU41" s="53">
        <f>IF(AND($D41&lt;=AU$17,$E41&gt;=AU$16),$C41*NETWORKDAYS(MAX($D41,AU$16),MIN($E41,AU$17),Libur!$A$2:$A$38)/NETWORKDAYS($D41,$E41,Libur!$A$2:$A$38),0)</f>
        <v>0</v>
      </c>
      <c r="AV41" s="53">
        <f>IF(AND($D41&lt;=AV$17,$E41&gt;=AV$16),$C41*NETWORKDAYS(MAX($D41,AV$16),MIN($E41,AV$17),Libur!$A$2:$A$38)/NETWORKDAYS($D41,$E41,Libur!$A$2:$A$38),0)</f>
        <v>0</v>
      </c>
      <c r="AW41" s="53">
        <f>IF(AND($D41&lt;=AW$17,$E41&gt;=AW$16),$C41*NETWORKDAYS(MAX($D41,AW$16),MIN($E41,AW$17),Libur!$A$2:$A$38)/NETWORKDAYS($D41,$E41,Libur!$A$2:$A$38),0)</f>
        <v>0</v>
      </c>
      <c r="AX41" s="53">
        <f>IF(AND($D41&lt;=AX$17,$E41&gt;=AX$16),$C41*NETWORKDAYS(MAX($D41,AX$16),MIN($E41,AX$17),Libur!$A$2:$A$38)/NETWORKDAYS($D41,$E41,Libur!$A$2:$A$38),0)</f>
        <v>0</v>
      </c>
      <c r="AY41" s="53">
        <f>IF(AND($D41&lt;=AY$17,$E41&gt;=AY$16),$C41*NETWORKDAYS(MAX($D41,AY$16),MIN($E41,AY$17),Libur!$A$2:$A$38)/NETWORKDAYS($D41,$E41,Libur!$A$2:$A$38),0)</f>
        <v>0</v>
      </c>
      <c r="AZ41" s="53">
        <f>IF(AND($D41&lt;=AZ$17,$E41&gt;=AZ$16),$C41*NETWORKDAYS(MAX($D41,AZ$16),MIN($E41,AZ$17),Libur!$A$2:$A$38)/NETWORKDAYS($D41,$E41,Libur!$A$2:$A$38),0)</f>
        <v>0</v>
      </c>
      <c r="BA41" s="53">
        <f>IF(AND($D41&lt;=BA$17,$E41&gt;=BA$16),$C41*NETWORKDAYS(MAX($D41,BA$16),MIN($E41,BA$17),Libur!$A$2:$A$38)/NETWORKDAYS($D41,$E41,Libur!$A$2:$A$38),0)</f>
        <v>0</v>
      </c>
      <c r="BB41" s="53">
        <f>IF(AND($D41&lt;=BB$17,$E41&gt;=BB$16),$C41*NETWORKDAYS(MAX($D41,BB$16),MIN($E41,BB$17),Libur!$A$2:$A$38)/NETWORKDAYS($D41,$E41,Libur!$A$2:$A$38),0)</f>
        <v>0</v>
      </c>
      <c r="BC41" s="53">
        <f>IF(AND($D41&lt;=BC$17,$E41&gt;=BC$16),$C41*NETWORKDAYS(MAX($D41,BC$16),MIN($E41,BC$17),Libur!$A$2:$A$38)/NETWORKDAYS($D41,$E41,Libur!$A$2:$A$38),0)</f>
        <v>0</v>
      </c>
      <c r="BD41" s="53">
        <f>IF(AND($D41&lt;=BD$17,$E41&gt;=BD$16),$C41*NETWORKDAYS(MAX($D41,BD$16),MIN($E41,BD$17),Libur!$A$2:$A$38)/NETWORKDAYS($D41,$E41,Libur!$A$2:$A$38),0)</f>
        <v>0</v>
      </c>
      <c r="BE41" s="53">
        <f>IF(AND($D41&lt;=BE$17,$E41&gt;=BE$16),$C41*NETWORKDAYS(MAX($D41,BE$16),MIN($E41,BE$17),Libur!$A$2:$A$38)/NETWORKDAYS($D41,$E41,Libur!$A$2:$A$38),0)</f>
        <v>0</v>
      </c>
      <c r="BF41" s="53">
        <f>IF(AND($D41&lt;=BF$17,$E41&gt;=BF$16),$C41*NETWORKDAYS(MAX($D41,BF$16),MIN($E41,BF$17),Libur!$A$2:$A$38)/NETWORKDAYS($D41,$E41,Libur!$A$2:$A$38),0)</f>
        <v>0</v>
      </c>
      <c r="BG41" s="53">
        <f>IF(AND($D41&lt;=BG$17,$E41&gt;=BG$16),$C41*NETWORKDAYS(MAX($D41,BG$16),MIN($E41,BG$17),Libur!$A$2:$A$38)/NETWORKDAYS($D41,$E41,Libur!$A$2:$A$38),0)</f>
        <v>0</v>
      </c>
      <c r="BH41" s="53">
        <f>IF(AND($D41&lt;=BH$17,$E41&gt;=BH$16),$C41*NETWORKDAYS(MAX($D41,BH$16),MIN($E41,BH$17),Libur!$A$2:$A$38)/NETWORKDAYS($D41,$E41,Libur!$A$2:$A$38),0)</f>
        <v>0</v>
      </c>
      <c r="BI41" s="53">
        <f>IF(AND($D41&lt;=BI$17,$E41&gt;=BI$16),$C41*NETWORKDAYS(MAX($D41,BI$16),MIN($E41,BI$17),Libur!$A$2:$A$38)/NETWORKDAYS($D41,$E41,Libur!$A$2:$A$38),0)</f>
        <v>0</v>
      </c>
      <c r="BJ41" s="53">
        <f>IF(AND($D41&lt;=BJ$17,$E41&gt;=BJ$16),$C41*NETWORKDAYS(MAX($D41,BJ$16),MIN($E41,BJ$17),Libur!$A$2:$A$38)/NETWORKDAYS($D41,$E41,Libur!$A$2:$A$38),0)</f>
        <v>0</v>
      </c>
      <c r="BK41" s="53">
        <f>IF(AND($D41&lt;=BK$17,$E41&gt;=BK$16),$C41*NETWORKDAYS(MAX($D41,BK$16),MIN($E41,BK$17),Libur!$A$2:$A$38)/NETWORKDAYS($D41,$E41,Libur!$A$2:$A$38),0)</f>
        <v>0</v>
      </c>
    </row>
    <row r="42" spans="1:63" x14ac:dyDescent="0.25">
      <c r="A42" s="45"/>
      <c r="B42" s="46"/>
      <c r="C42" s="48"/>
      <c r="D42" s="47"/>
      <c r="E42" s="47"/>
      <c r="F42" s="48"/>
      <c r="G42" s="48"/>
      <c r="H42" s="49"/>
      <c r="I42" s="48"/>
      <c r="J42" s="48"/>
      <c r="K42" s="48"/>
      <c r="L42" s="48"/>
      <c r="M42" s="48"/>
      <c r="N42" s="51"/>
      <c r="O42" s="52"/>
      <c r="P42" s="53">
        <f>IF(AND($D42&lt;=P$17,$E42&gt;=P$16),$C42*NETWORKDAYS(MAX($D42,P$16),MIN($E42,P$17),Libur!$A$2:$A$38)/NETWORKDAYS($D42,$E42,Libur!$A$2:$A$38),0)</f>
        <v>0</v>
      </c>
      <c r="Q42" s="53">
        <f>IF(AND($D42&lt;=Q$17,$E42&gt;=Q$16),$C42*NETWORKDAYS(MAX($D42,Q$16),MIN($E42,Q$17),Libur!$A$2:$A$38)/NETWORKDAYS($D42,$E42,Libur!$A$2:$A$38),0)</f>
        <v>0</v>
      </c>
      <c r="R42" s="53">
        <f>IF(AND($D42&lt;=R$17,$E42&gt;=R$16),$C42*NETWORKDAYS(MAX($D42,R$16),MIN($E42,R$17),Libur!$A$2:$A$38)/NETWORKDAYS($D42,$E42,Libur!$A$2:$A$38),0)</f>
        <v>0</v>
      </c>
      <c r="S42" s="53">
        <f>IF(AND($D42&lt;=S$17,$E42&gt;=S$16),$C42*NETWORKDAYS(MAX($D42,S$16),MIN($E42,S$17),Libur!$A$2:$A$38)/NETWORKDAYS($D42,$E42,Libur!$A$2:$A$38),0)</f>
        <v>0</v>
      </c>
      <c r="T42" s="53">
        <f>IF(AND($D42&lt;=T$17,$E42&gt;=T$16),$C42*NETWORKDAYS(MAX($D42,T$16),MIN($E42,T$17),Libur!$A$2:$A$38)/NETWORKDAYS($D42,$E42,Libur!$A$2:$A$38),0)</f>
        <v>0</v>
      </c>
      <c r="U42" s="53">
        <f>IF(AND($D42&lt;=U$17,$E42&gt;=U$16),$C42*NETWORKDAYS(MAX($D42,U$16),MIN($E42,U$17),Libur!$A$2:$A$38)/NETWORKDAYS($D42,$E42,Libur!$A$2:$A$38),0)</f>
        <v>0</v>
      </c>
      <c r="V42" s="53">
        <f>IF(AND($D42&lt;=V$17,$E42&gt;=V$16),$C42*NETWORKDAYS(MAX($D42,V$16),MIN($E42,V$17),Libur!$A$2:$A$38)/NETWORKDAYS($D42,$E42,Libur!$A$2:$A$38),0)</f>
        <v>0</v>
      </c>
      <c r="W42" s="53">
        <f>IF(AND($D42&lt;=W$17,$E42&gt;=W$16),$C42*NETWORKDAYS(MAX($D42,W$16),MIN($E42,W$17),Libur!$A$2:$A$38)/NETWORKDAYS($D42,$E42,Libur!$A$2:$A$38),0)</f>
        <v>0</v>
      </c>
      <c r="X42" s="53">
        <f>IF(AND($D42&lt;=X$17,$E42&gt;=X$16),$C42*NETWORKDAYS(MAX($D42,X$16),MIN($E42,X$17),Libur!$A$2:$A$38)/NETWORKDAYS($D42,$E42,Libur!$A$2:$A$38),0)</f>
        <v>0</v>
      </c>
      <c r="Y42" s="53">
        <f>IF(AND($D42&lt;=Y$17,$E42&gt;=Y$16),$C42*NETWORKDAYS(MAX($D42,Y$16),MIN($E42,Y$17),Libur!$A$2:$A$38)/NETWORKDAYS($D42,$E42,Libur!$A$2:$A$38),0)</f>
        <v>0</v>
      </c>
      <c r="Z42" s="53">
        <f>IF(AND($D42&lt;=Z$17,$E42&gt;=Z$16),$C42*NETWORKDAYS(MAX($D42,Z$16),MIN($E42,Z$17),Libur!$A$2:$A$38)/NETWORKDAYS($D42,$E42,Libur!$A$2:$A$38),0)</f>
        <v>0</v>
      </c>
      <c r="AA42" s="53">
        <f>IF(AND($D42&lt;=AA$17,$E42&gt;=AA$16),$C42*NETWORKDAYS(MAX($D42,AA$16),MIN($E42,AA$17),Libur!$A$2:$A$38)/NETWORKDAYS($D42,$E42,Libur!$A$2:$A$38),0)</f>
        <v>0</v>
      </c>
      <c r="AB42" s="53">
        <f>IF(AND($D42&lt;=AB$17,$E42&gt;=AB$16),$C42*NETWORKDAYS(MAX($D42,AB$16),MIN($E42,AB$17),Libur!$A$2:$A$38)/NETWORKDAYS($D42,$E42,Libur!$A$2:$A$38),0)</f>
        <v>0</v>
      </c>
      <c r="AC42" s="53">
        <f>IF(AND($D42&lt;=AC$17,$E42&gt;=AC$16),$C42*NETWORKDAYS(MAX($D42,AC$16),MIN($E42,AC$17),Libur!$A$2:$A$38)/NETWORKDAYS($D42,$E42,Libur!$A$2:$A$38),0)</f>
        <v>0</v>
      </c>
      <c r="AD42" s="53">
        <f>IF(AND($D42&lt;=AD$17,$E42&gt;=AD$16),$C42*NETWORKDAYS(MAX($D42,AD$16),MIN($E42,AD$17),Libur!$A$2:$A$38)/NETWORKDAYS($D42,$E42,Libur!$A$2:$A$38),0)</f>
        <v>0</v>
      </c>
      <c r="AE42" s="53">
        <f>IF(AND($D42&lt;=AE$17,$E42&gt;=AE$16),$C42*NETWORKDAYS(MAX($D42,AE$16),MIN($E42,AE$17),Libur!$A$2:$A$38)/NETWORKDAYS($D42,$E42,Libur!$A$2:$A$38),0)</f>
        <v>0</v>
      </c>
      <c r="AF42" s="53">
        <f>IF(AND($D42&lt;=AF$17,$E42&gt;=AF$16),$C42*NETWORKDAYS(MAX($D42,AF$16),MIN($E42,AF$17),Libur!$A$2:$A$38)/NETWORKDAYS($D42,$E42,Libur!$A$2:$A$38),0)</f>
        <v>0</v>
      </c>
      <c r="AG42" s="53">
        <f>IF(AND($D42&lt;=AG$17,$E42&gt;=AG$16),$C42*NETWORKDAYS(MAX($D42,AG$16),MIN($E42,AG$17),Libur!$A$2:$A$38)/NETWORKDAYS($D42,$E42,Libur!$A$2:$A$38),0)</f>
        <v>0</v>
      </c>
      <c r="AH42" s="53">
        <f>IF(AND($D42&lt;=AH$17,$E42&gt;=AH$16),$C42*NETWORKDAYS(MAX($D42,AH$16),MIN($E42,AH$17),Libur!$A$2:$A$38)/NETWORKDAYS($D42,$E42,Libur!$A$2:$A$38),0)</f>
        <v>0</v>
      </c>
      <c r="AI42" s="53">
        <f>IF(AND($D42&lt;=AI$17,$E42&gt;=AI$16),$C42*NETWORKDAYS(MAX($D42,AI$16),MIN($E42,AI$17),Libur!$A$2:$A$38)/NETWORKDAYS($D42,$E42,Libur!$A$2:$A$38),0)</f>
        <v>0</v>
      </c>
      <c r="AJ42" s="53">
        <f>IF(AND($D42&lt;=AJ$17,$E42&gt;=AJ$16),$C42*NETWORKDAYS(MAX($D42,AJ$16),MIN($E42,AJ$17),Libur!$A$2:$A$38)/NETWORKDAYS($D42,$E42,Libur!$A$2:$A$38),0)</f>
        <v>0</v>
      </c>
      <c r="AK42" s="53">
        <f>IF(AND($D42&lt;=AK$17,$E42&gt;=AK$16),$C42*NETWORKDAYS(MAX($D42,AK$16),MIN($E42,AK$17),Libur!$A$2:$A$38)/NETWORKDAYS($D42,$E42,Libur!$A$2:$A$38),0)</f>
        <v>0</v>
      </c>
      <c r="AL42" s="53">
        <f>IF(AND($D42&lt;=AL$17,$E42&gt;=AL$16),$C42*NETWORKDAYS(MAX($D42,AL$16),MIN($E42,AL$17),Libur!$A$2:$A$38)/NETWORKDAYS($D42,$E42,Libur!$A$2:$A$38),0)</f>
        <v>0</v>
      </c>
      <c r="AM42" s="53">
        <f>IF(AND($D42&lt;=AM$17,$E42&gt;=AM$16),$C42*NETWORKDAYS(MAX($D42,AM$16),MIN($E42,AM$17),Libur!$A$2:$A$38)/NETWORKDAYS($D42,$E42,Libur!$A$2:$A$38),0)</f>
        <v>0</v>
      </c>
      <c r="AN42" s="53">
        <f>IF(AND($D42&lt;=AN$17,$E42&gt;=AN$16),$C42*NETWORKDAYS(MAX($D42,AN$16),MIN($E42,AN$17),Libur!$A$2:$A$38)/NETWORKDAYS($D42,$E42,Libur!$A$2:$A$38),0)</f>
        <v>0</v>
      </c>
      <c r="AO42" s="53">
        <f>IF(AND($D42&lt;=AO$17,$E42&gt;=AO$16),$C42*NETWORKDAYS(MAX($D42,AO$16),MIN($E42,AO$17),Libur!$A$2:$A$38)/NETWORKDAYS($D42,$E42,Libur!$A$2:$A$38),0)</f>
        <v>0</v>
      </c>
      <c r="AP42" s="53">
        <f>IF(AND($D42&lt;=AP$17,$E42&gt;=AP$16),$C42*NETWORKDAYS(MAX($D42,AP$16),MIN($E42,AP$17),Libur!$A$2:$A$38)/NETWORKDAYS($D42,$E42,Libur!$A$2:$A$38),0)</f>
        <v>0</v>
      </c>
      <c r="AQ42" s="53">
        <f>IF(AND($D42&lt;=AQ$17,$E42&gt;=AQ$16),$C42*NETWORKDAYS(MAX($D42,AQ$16),MIN($E42,AQ$17),Libur!$A$2:$A$38)/NETWORKDAYS($D42,$E42,Libur!$A$2:$A$38),0)</f>
        <v>0</v>
      </c>
      <c r="AR42" s="53">
        <f>IF(AND($D42&lt;=AR$17,$E42&gt;=AR$16),$C42*NETWORKDAYS(MAX($D42,AR$16),MIN($E42,AR$17),Libur!$A$2:$A$38)/NETWORKDAYS($D42,$E42,Libur!$A$2:$A$38),0)</f>
        <v>0</v>
      </c>
      <c r="AS42" s="53">
        <f>IF(AND($D42&lt;=AS$17,$E42&gt;=AS$16),$C42*NETWORKDAYS(MAX($D42,AS$16),MIN($E42,AS$17),Libur!$A$2:$A$38)/NETWORKDAYS($D42,$E42,Libur!$A$2:$A$38),0)</f>
        <v>0</v>
      </c>
      <c r="AT42" s="53">
        <f>IF(AND($D42&lt;=AT$17,$E42&gt;=AT$16),$C42*NETWORKDAYS(MAX($D42,AT$16),MIN($E42,AT$17),Libur!$A$2:$A$38)/NETWORKDAYS($D42,$E42,Libur!$A$2:$A$38),0)</f>
        <v>0</v>
      </c>
      <c r="AU42" s="53">
        <f>IF(AND($D42&lt;=AU$17,$E42&gt;=AU$16),$C42*NETWORKDAYS(MAX($D42,AU$16),MIN($E42,AU$17),Libur!$A$2:$A$38)/NETWORKDAYS($D42,$E42,Libur!$A$2:$A$38),0)</f>
        <v>0</v>
      </c>
      <c r="AV42" s="53">
        <f>IF(AND($D42&lt;=AV$17,$E42&gt;=AV$16),$C42*NETWORKDAYS(MAX($D42,AV$16),MIN($E42,AV$17),Libur!$A$2:$A$38)/NETWORKDAYS($D42,$E42,Libur!$A$2:$A$38),0)</f>
        <v>0</v>
      </c>
      <c r="AW42" s="53">
        <f>IF(AND($D42&lt;=AW$17,$E42&gt;=AW$16),$C42*NETWORKDAYS(MAX($D42,AW$16),MIN($E42,AW$17),Libur!$A$2:$A$38)/NETWORKDAYS($D42,$E42,Libur!$A$2:$A$38),0)</f>
        <v>0</v>
      </c>
      <c r="AX42" s="53">
        <f>IF(AND($D42&lt;=AX$17,$E42&gt;=AX$16),$C42*NETWORKDAYS(MAX($D42,AX$16),MIN($E42,AX$17),Libur!$A$2:$A$38)/NETWORKDAYS($D42,$E42,Libur!$A$2:$A$38),0)</f>
        <v>0</v>
      </c>
      <c r="AY42" s="53">
        <f>IF(AND($D42&lt;=AY$17,$E42&gt;=AY$16),$C42*NETWORKDAYS(MAX($D42,AY$16),MIN($E42,AY$17),Libur!$A$2:$A$38)/NETWORKDAYS($D42,$E42,Libur!$A$2:$A$38),0)</f>
        <v>0</v>
      </c>
      <c r="AZ42" s="53">
        <f>IF(AND($D42&lt;=AZ$17,$E42&gt;=AZ$16),$C42*NETWORKDAYS(MAX($D42,AZ$16),MIN($E42,AZ$17),Libur!$A$2:$A$38)/NETWORKDAYS($D42,$E42,Libur!$A$2:$A$38),0)</f>
        <v>0</v>
      </c>
      <c r="BA42" s="53">
        <f>IF(AND($D42&lt;=BA$17,$E42&gt;=BA$16),$C42*NETWORKDAYS(MAX($D42,BA$16),MIN($E42,BA$17),Libur!$A$2:$A$38)/NETWORKDAYS($D42,$E42,Libur!$A$2:$A$38),0)</f>
        <v>0</v>
      </c>
      <c r="BB42" s="53">
        <f>IF(AND($D42&lt;=BB$17,$E42&gt;=BB$16),$C42*NETWORKDAYS(MAX($D42,BB$16),MIN($E42,BB$17),Libur!$A$2:$A$38)/NETWORKDAYS($D42,$E42,Libur!$A$2:$A$38),0)</f>
        <v>0</v>
      </c>
      <c r="BC42" s="53">
        <f>IF(AND($D42&lt;=BC$17,$E42&gt;=BC$16),$C42*NETWORKDAYS(MAX($D42,BC$16),MIN($E42,BC$17),Libur!$A$2:$A$38)/NETWORKDAYS($D42,$E42,Libur!$A$2:$A$38),0)</f>
        <v>0</v>
      </c>
      <c r="BD42" s="53">
        <f>IF(AND($D42&lt;=BD$17,$E42&gt;=BD$16),$C42*NETWORKDAYS(MAX($D42,BD$16),MIN($E42,BD$17),Libur!$A$2:$A$38)/NETWORKDAYS($D42,$E42,Libur!$A$2:$A$38),0)</f>
        <v>0</v>
      </c>
      <c r="BE42" s="53">
        <f>IF(AND($D42&lt;=BE$17,$E42&gt;=BE$16),$C42*NETWORKDAYS(MAX($D42,BE$16),MIN($E42,BE$17),Libur!$A$2:$A$38)/NETWORKDAYS($D42,$E42,Libur!$A$2:$A$38),0)</f>
        <v>0</v>
      </c>
      <c r="BF42" s="53">
        <f>IF(AND($D42&lt;=BF$17,$E42&gt;=BF$16),$C42*NETWORKDAYS(MAX($D42,BF$16),MIN($E42,BF$17),Libur!$A$2:$A$38)/NETWORKDAYS($D42,$E42,Libur!$A$2:$A$38),0)</f>
        <v>0</v>
      </c>
      <c r="BG42" s="53">
        <f>IF(AND($D42&lt;=BG$17,$E42&gt;=BG$16),$C42*NETWORKDAYS(MAX($D42,BG$16),MIN($E42,BG$17),Libur!$A$2:$A$38)/NETWORKDAYS($D42,$E42,Libur!$A$2:$A$38),0)</f>
        <v>0</v>
      </c>
      <c r="BH42" s="53">
        <f>IF(AND($D42&lt;=BH$17,$E42&gt;=BH$16),$C42*NETWORKDAYS(MAX($D42,BH$16),MIN($E42,BH$17),Libur!$A$2:$A$38)/NETWORKDAYS($D42,$E42,Libur!$A$2:$A$38),0)</f>
        <v>0</v>
      </c>
      <c r="BI42" s="53">
        <f>IF(AND($D42&lt;=BI$17,$E42&gt;=BI$16),$C42*NETWORKDAYS(MAX($D42,BI$16),MIN($E42,BI$17),Libur!$A$2:$A$38)/NETWORKDAYS($D42,$E42,Libur!$A$2:$A$38),0)</f>
        <v>0</v>
      </c>
      <c r="BJ42" s="53">
        <f>IF(AND($D42&lt;=BJ$17,$E42&gt;=BJ$16),$C42*NETWORKDAYS(MAX($D42,BJ$16),MIN($E42,BJ$17),Libur!$A$2:$A$38)/NETWORKDAYS($D42,$E42,Libur!$A$2:$A$38),0)</f>
        <v>0</v>
      </c>
      <c r="BK42" s="53">
        <f>IF(AND($D42&lt;=BK$17,$E42&gt;=BK$16),$C42*NETWORKDAYS(MAX($D42,BK$16),MIN($E42,BK$17),Libur!$A$2:$A$38)/NETWORKDAYS($D42,$E42,Libur!$A$2:$A$38),0)</f>
        <v>0</v>
      </c>
    </row>
    <row r="43" spans="1:63" s="9" customFormat="1" x14ac:dyDescent="0.25">
      <c r="A43" s="36" t="s">
        <v>94</v>
      </c>
      <c r="B43" s="9" t="s">
        <v>95</v>
      </c>
      <c r="C43" s="37">
        <f>SUM(C44:C49)</f>
        <v>0.1</v>
      </c>
      <c r="D43" s="56">
        <v>46220</v>
      </c>
      <c r="E43" s="56">
        <v>46245</v>
      </c>
      <c r="F43" s="48"/>
      <c r="G43" s="48"/>
      <c r="H43" s="40">
        <f>NETWORKDAYS(D43,E43,Libur!$A$2:$A$56)</f>
        <v>18</v>
      </c>
      <c r="I43" s="54">
        <f t="shared" ref="I43:I49" si="2">IF($C$8&gt;E43,100/100,IF($C$8&lt;=D43,0,(NETWORKDAYS(D43,$C$8)/NETWORKDAYS(D43,E43))))</f>
        <v>0</v>
      </c>
      <c r="J43" s="54">
        <f>SUM(J44:J49)</f>
        <v>0</v>
      </c>
      <c r="K43" s="54">
        <f>SUM(K44:K49)</f>
        <v>0</v>
      </c>
      <c r="L43" s="54">
        <f>SUM(L44:L49)</f>
        <v>0</v>
      </c>
      <c r="M43" s="54">
        <f>SUM(M44:M49)</f>
        <v>0</v>
      </c>
      <c r="N43" s="51"/>
      <c r="O43" s="52"/>
      <c r="P43" s="53">
        <f>IF(AND($D43&lt;=P$17,$E43&gt;=P$16),$C43*NETWORKDAYS(MAX($D43,P$16),MIN($E43,P$17),Libur!$A$2:$A$38)/NETWORKDAYS($D43,$E43,Libur!$A$2:$A$38),0)</f>
        <v>0</v>
      </c>
      <c r="Q43" s="53">
        <f>IF(AND($D43&lt;=Q$17,$E43&gt;=Q$16),$C43*NETWORKDAYS(MAX($D43,Q$16),MIN($E43,Q$17),Libur!$A$2:$A$38)/NETWORKDAYS($D43,$E43,Libur!$A$2:$A$38),0)</f>
        <v>0</v>
      </c>
      <c r="R43" s="53">
        <f>IF(AND($D43&lt;=R$17,$E43&gt;=R$16),$C43*NETWORKDAYS(MAX($D43,R$16),MIN($E43,R$17),Libur!$A$2:$A$38)/NETWORKDAYS($D43,$E43,Libur!$A$2:$A$38),0)</f>
        <v>0</v>
      </c>
      <c r="S43" s="53">
        <f>IF(AND($D43&lt;=S$17,$E43&gt;=S$16),$C43*NETWORKDAYS(MAX($D43,S$16),MIN($E43,S$17),Libur!$A$2:$A$38)/NETWORKDAYS($D43,$E43,Libur!$A$2:$A$38),0)</f>
        <v>0</v>
      </c>
      <c r="T43" s="53">
        <f>IF(AND($D43&lt;=T$17,$E43&gt;=T$16),$C43*NETWORKDAYS(MAX($D43,T$16),MIN($E43,T$17),Libur!$A$2:$A$38)/NETWORKDAYS($D43,$E43,Libur!$A$2:$A$38),0)</f>
        <v>0</v>
      </c>
      <c r="U43" s="53">
        <f>IF(AND($D43&lt;=U$17,$E43&gt;=U$16),$C43*NETWORKDAYS(MAX($D43,U$16),MIN($E43,U$17),Libur!$A$2:$A$38)/NETWORKDAYS($D43,$E43,Libur!$A$2:$A$38),0)</f>
        <v>0</v>
      </c>
      <c r="V43" s="53">
        <f>IF(AND($D43&lt;=V$17,$E43&gt;=V$16),$C43*NETWORKDAYS(MAX($D43,V$16),MIN($E43,V$17),Libur!$A$2:$A$38)/NETWORKDAYS($D43,$E43,Libur!$A$2:$A$38),0)</f>
        <v>0</v>
      </c>
      <c r="W43" s="53">
        <f>IF(AND($D43&lt;=W$17,$E43&gt;=W$16),$C43*NETWORKDAYS(MAX($D43,W$16),MIN($E43,W$17),Libur!$A$2:$A$38)/NETWORKDAYS($D43,$E43,Libur!$A$2:$A$38),0)</f>
        <v>0</v>
      </c>
      <c r="X43" s="53">
        <f>IF(AND($D43&lt;=X$17,$E43&gt;=X$16),$C43*NETWORKDAYS(MAX($D43,X$16),MIN($E43,X$17),Libur!$A$2:$A$38)/NETWORKDAYS($D43,$E43,Libur!$A$2:$A$38),0)</f>
        <v>0</v>
      </c>
      <c r="Y43" s="53"/>
      <c r="Z43" s="53"/>
      <c r="AA43" s="53"/>
      <c r="AB43" s="53"/>
      <c r="AC43" s="53"/>
      <c r="AD43" s="53"/>
      <c r="AE43" s="53"/>
      <c r="AF43" s="53">
        <f>IF(AND($D43&lt;=AF$17,$E43&gt;=AF$16),$C43*NETWORKDAYS(MAX($D43,AF$16),MIN($E43,AF$17),Libur!$A$2:$A$38)/NETWORKDAYS($D43,$E43,Libur!$A$2:$A$38),0)</f>
        <v>0</v>
      </c>
      <c r="AG43" s="53">
        <f>IF(AND($D43&lt;=AG$17,$E43&gt;=AG$16),$C43*NETWORKDAYS(MAX($D43,AG$16),MIN($E43,AG$17),Libur!$A$2:$A$38)/NETWORKDAYS($D43,$E43,Libur!$A$2:$A$38),0)</f>
        <v>0</v>
      </c>
      <c r="AH43" s="53">
        <f>IF(AND($D43&lt;=AH$17,$E43&gt;=AH$16),$C43*NETWORKDAYS(MAX($D43,AH$16),MIN($E43,AH$17),Libur!$A$2:$A$38)/NETWORKDAYS($D43,$E43,Libur!$A$2:$A$38),0)</f>
        <v>0</v>
      </c>
      <c r="AI43" s="53">
        <f>IF(AND($D43&lt;=AI$17,$E43&gt;=AI$16),$C43*NETWORKDAYS(MAX($D43,AI$16),MIN($E43,AI$17),Libur!$A$2:$A$38)/NETWORKDAYS($D43,$E43,Libur!$A$2:$A$38),0)</f>
        <v>0</v>
      </c>
      <c r="AJ43" s="53">
        <f>IF(AND($D43&lt;=AJ$17,$E43&gt;=AJ$16),$C43*NETWORKDAYS(MAX($D43,AJ$16),MIN($E43,AJ$17),Libur!$A$2:$A$38)/NETWORKDAYS($D43,$E43,Libur!$A$2:$A$38),0)</f>
        <v>0</v>
      </c>
      <c r="AK43" s="53">
        <f>IF(AND($D43&lt;=AK$17,$E43&gt;=AK$16),$C43*NETWORKDAYS(MAX($D43,AK$16),MIN($E43,AK$17),Libur!$A$2:$A$38)/NETWORKDAYS($D43,$E43,Libur!$A$2:$A$38),0)</f>
        <v>0</v>
      </c>
      <c r="AL43" s="53">
        <f>IF(AND($D43&lt;=AL$17,$E43&gt;=AL$16),$C43*NETWORKDAYS(MAX($D43,AL$16),MIN($E43,AL$17),Libur!$A$2:$A$38)/NETWORKDAYS($D43,$E43,Libur!$A$2:$A$38),0)</f>
        <v>0</v>
      </c>
      <c r="AM43" s="53">
        <f>IF(AND($D43&lt;=AM$17,$E43&gt;=AM$16),$C43*NETWORKDAYS(MAX($D43,AM$16),MIN($E43,AM$17),Libur!$A$2:$A$38)/NETWORKDAYS($D43,$E43,Libur!$A$2:$A$38),0)</f>
        <v>0</v>
      </c>
      <c r="AN43" s="53">
        <f>IF(AND($D43&lt;=AN$17,$E43&gt;=AN$16),$C43*NETWORKDAYS(MAX($D43,AN$16),MIN($E43,AN$17),Libur!$A$2:$A$38)/NETWORKDAYS($D43,$E43,Libur!$A$2:$A$38),0)</f>
        <v>0</v>
      </c>
      <c r="AO43" s="53">
        <f>IF(AND($D43&lt;=AO$17,$E43&gt;=AO$16),$C43*NETWORKDAYS(MAX($D43,AO$16),MIN($E43,AO$17),Libur!$A$2:$A$38)/NETWORKDAYS($D43,$E43,Libur!$A$2:$A$38),0)</f>
        <v>0</v>
      </c>
      <c r="AP43" s="53">
        <f>IF(AND($D43&lt;=AP$17,$E43&gt;=AP$16),$C43*NETWORKDAYS(MAX($D43,AP$16),MIN($E43,AP$17),Libur!$A$2:$A$38)/NETWORKDAYS($D43,$E43,Libur!$A$2:$A$38),0)</f>
        <v>0</v>
      </c>
      <c r="AQ43" s="53">
        <f>IF(AND($D43&lt;=AQ$17,$E43&gt;=AQ$16),$C43*NETWORKDAYS(MAX($D43,AQ$16),MIN($E43,AQ$17),Libur!$A$2:$A$38)/NETWORKDAYS($D43,$E43,Libur!$A$2:$A$38),0)</f>
        <v>0</v>
      </c>
      <c r="AR43" s="53">
        <f>IF(AND($D43&lt;=AR$17,$E43&gt;=AR$16),$C43*NETWORKDAYS(MAX($D43,AR$16),MIN($E43,AR$17),Libur!$A$2:$A$38)/NETWORKDAYS($D43,$E43,Libur!$A$2:$A$38),0)</f>
        <v>0</v>
      </c>
      <c r="AS43" s="53">
        <f>IF(AND($D43&lt;=AS$17,$E43&gt;=AS$16),$C43*NETWORKDAYS(MAX($D43,AS$16),MIN($E43,AS$17),Libur!$A$2:$A$38)/NETWORKDAYS($D43,$E43,Libur!$A$2:$A$38),0)</f>
        <v>0</v>
      </c>
      <c r="AT43" s="53">
        <f>IF(AND($D43&lt;=AT$17,$E43&gt;=AT$16),$C43*NETWORKDAYS(MAX($D43,AT$16),MIN($E43,AT$17),Libur!$A$2:$A$38)/NETWORKDAYS($D43,$E43,Libur!$A$2:$A$38),0)</f>
        <v>0</v>
      </c>
      <c r="AU43" s="53">
        <f>IF(AND($D43&lt;=AU$17,$E43&gt;=AU$16),$C43*NETWORKDAYS(MAX($D43,AU$16),MIN($E43,AU$17),Libur!$A$2:$A$38)/NETWORKDAYS($D43,$E43,Libur!$A$2:$A$38),0)</f>
        <v>0</v>
      </c>
      <c r="AV43" s="53">
        <f>IF(AND($D43&lt;=AV$17,$E43&gt;=AV$16),$C43*NETWORKDAYS(MAX($D43,AV$16),MIN($E43,AV$17),Libur!$A$2:$A$38)/NETWORKDAYS($D43,$E43,Libur!$A$2:$A$38),0)</f>
        <v>0</v>
      </c>
      <c r="AW43" s="53">
        <f>IF(AND($D43&lt;=AW$17,$E43&gt;=AW$16),$C43*NETWORKDAYS(MAX($D43,AW$16),MIN($E43,AW$17),Libur!$A$2:$A$38)/NETWORKDAYS($D43,$E43,Libur!$A$2:$A$38),0)</f>
        <v>0</v>
      </c>
      <c r="AX43" s="53">
        <f>IF(AND($D43&lt;=AX$17,$E43&gt;=AX$16),$C43*NETWORKDAYS(MAX($D43,AX$16),MIN($E43,AX$17),Libur!$A$2:$A$38)/NETWORKDAYS($D43,$E43,Libur!$A$2:$A$38),0)</f>
        <v>0</v>
      </c>
      <c r="AY43" s="53">
        <f>IF(AND($D43&lt;=AY$17,$E43&gt;=AY$16),$C43*NETWORKDAYS(MAX($D43,AY$16),MIN($E43,AY$17),Libur!$A$2:$A$38)/NETWORKDAYS($D43,$E43,Libur!$A$2:$A$38),0)</f>
        <v>0</v>
      </c>
      <c r="AZ43" s="53">
        <f>IF(AND($D43&lt;=AZ$17,$E43&gt;=AZ$16),$C43*NETWORKDAYS(MAX($D43,AZ$16),MIN($E43,AZ$17),Libur!$A$2:$A$38)/NETWORKDAYS($D43,$E43,Libur!$A$2:$A$38),0)</f>
        <v>0</v>
      </c>
      <c r="BA43" s="53">
        <f>IF(AND($D43&lt;=BA$17,$E43&gt;=BA$16),$C43*NETWORKDAYS(MAX($D43,BA$16),MIN($E43,BA$17),Libur!$A$2:$A$38)/NETWORKDAYS($D43,$E43,Libur!$A$2:$A$38),0)</f>
        <v>0</v>
      </c>
      <c r="BB43" s="53">
        <f>IF(AND($D43&lt;=BB$17,$E43&gt;=BB$16),$C43*NETWORKDAYS(MAX($D43,BB$16),MIN($E43,BB$17),Libur!$A$2:$A$38)/NETWORKDAYS($D43,$E43,Libur!$A$2:$A$38),0)</f>
        <v>0</v>
      </c>
      <c r="BC43" s="53">
        <f>IF(AND($D43&lt;=BC$17,$E43&gt;=BC$16),$C43*NETWORKDAYS(MAX($D43,BC$16),MIN($E43,BC$17),Libur!$A$2:$A$38)/NETWORKDAYS($D43,$E43,Libur!$A$2:$A$38),0)</f>
        <v>0</v>
      </c>
      <c r="BD43" s="53">
        <f>IF(AND($D43&lt;=BD$17,$E43&gt;=BD$16),$C43*NETWORKDAYS(MAX($D43,BD$16),MIN($E43,BD$17),Libur!$A$2:$A$38)/NETWORKDAYS($D43,$E43,Libur!$A$2:$A$38),0)</f>
        <v>0</v>
      </c>
      <c r="BE43" s="53">
        <f>IF(AND($D43&lt;=BE$17,$E43&gt;=BE$16),$C43*NETWORKDAYS(MAX($D43,BE$16),MIN($E43,BE$17),Libur!$A$2:$A$38)/NETWORKDAYS($D43,$E43,Libur!$A$2:$A$38),0)</f>
        <v>0</v>
      </c>
      <c r="BF43" s="53">
        <f>IF(AND($D43&lt;=BF$17,$E43&gt;=BF$16),$C43*NETWORKDAYS(MAX($D43,BF$16),MIN($E43,BF$17),Libur!$A$2:$A$38)/NETWORKDAYS($D43,$E43,Libur!$A$2:$A$38),0)</f>
        <v>0</v>
      </c>
      <c r="BG43" s="53">
        <f>IF(AND($D43&lt;=BG$17,$E43&gt;=BG$16),$C43*NETWORKDAYS(MAX($D43,BG$16),MIN($E43,BG$17),Libur!$A$2:$A$38)/NETWORKDAYS($D43,$E43,Libur!$A$2:$A$38),0)</f>
        <v>0</v>
      </c>
      <c r="BH43" s="53">
        <f>IF(AND($D43&lt;=BH$17,$E43&gt;=BH$16),$C43*NETWORKDAYS(MAX($D43,BH$16),MIN($E43,BH$17),Libur!$A$2:$A$38)/NETWORKDAYS($D43,$E43,Libur!$A$2:$A$38),0)</f>
        <v>0</v>
      </c>
      <c r="BI43" s="53">
        <f>IF(AND($D43&lt;=BI$17,$E43&gt;=BI$16),$C43*NETWORKDAYS(MAX($D43,BI$16),MIN($E43,BI$17),Libur!$A$2:$A$38)/NETWORKDAYS($D43,$E43,Libur!$A$2:$A$38),0)</f>
        <v>0</v>
      </c>
      <c r="BJ43" s="53">
        <f>IF(AND($D43&lt;=BJ$17,$E43&gt;=BJ$16),$C43*NETWORKDAYS(MAX($D43,BJ$16),MIN($E43,BJ$17),Libur!$A$2:$A$38)/NETWORKDAYS($D43,$E43,Libur!$A$2:$A$38),0)</f>
        <v>0</v>
      </c>
      <c r="BK43" s="53">
        <f>IF(AND($D43&lt;=BK$17,$E43&gt;=BK$16),$C43*NETWORKDAYS(MAX($D43,BK$16),MIN($E43,BK$17),Libur!$A$2:$A$38)/NETWORKDAYS($D43,$E43,Libur!$A$2:$A$38),0)</f>
        <v>0</v>
      </c>
    </row>
    <row r="44" spans="1:63" x14ac:dyDescent="0.25">
      <c r="A44" s="45"/>
      <c r="B44" s="46" t="s">
        <v>96</v>
      </c>
      <c r="C44" s="48">
        <v>0.02</v>
      </c>
      <c r="D44" s="47">
        <v>46220</v>
      </c>
      <c r="E44" s="47">
        <v>46225</v>
      </c>
      <c r="F44" s="7">
        <f t="shared" ref="F44:F49" si="3">C44</f>
        <v>0.02</v>
      </c>
      <c r="G44" s="48">
        <f t="shared" ref="G44:G49" si="4">SUM(P44:AZ44)</f>
        <v>0.02</v>
      </c>
      <c r="H44" s="49">
        <f>NETWORKDAYS(D44,E44,Libur!$A$2:$A$56)</f>
        <v>4</v>
      </c>
      <c r="I44" s="48">
        <f t="shared" si="2"/>
        <v>0</v>
      </c>
      <c r="J44" s="48">
        <f t="shared" ref="J44:J49" si="5">I44*F44</f>
        <v>0</v>
      </c>
      <c r="K44" s="48">
        <v>0</v>
      </c>
      <c r="L44" s="48">
        <f t="shared" ref="L44:L49" si="6">C44*K44</f>
        <v>0</v>
      </c>
      <c r="M44" s="48">
        <f t="shared" ref="M44:M49" si="7">L44-J44</f>
        <v>0</v>
      </c>
      <c r="N44" s="51">
        <f t="shared" ref="N44:N49" si="8">C44</f>
        <v>0.02</v>
      </c>
      <c r="O44" s="52">
        <f t="shared" ref="O44:O49" si="9">SUM(P44:BK44)</f>
        <v>0.02</v>
      </c>
      <c r="P44" s="53">
        <f>IF(AND($D44&lt;=P$17,$E44&gt;=P$16),$C44*NETWORKDAYS(MAX($D44,P$16),MIN($E44,P$17),Libur!$A$2:$A$38)/NETWORKDAYS($D44,$E44,Libur!$A$2:$A$38),0)</f>
        <v>0</v>
      </c>
      <c r="Q44" s="53">
        <f>IF(AND($D44&lt;=Q$17,$E44&gt;=Q$16),$C44*NETWORKDAYS(MAX($D44,Q$16),MIN($E44,Q$17),Libur!$A$2:$A$38)/NETWORKDAYS($D44,$E44,Libur!$A$2:$A$38),0)</f>
        <v>0</v>
      </c>
      <c r="R44" s="53">
        <f>IF(AND($D44&lt;=R$17,$E44&gt;=R$16),$C44*NETWORKDAYS(MAX($D44,R$16),MIN($E44,R$17),Libur!$A$2:$A$38)/NETWORKDAYS($D44,$E44,Libur!$A$2:$A$38),0)</f>
        <v>0</v>
      </c>
      <c r="S44" s="53">
        <f>IF(AND($D44&lt;=S$17,$E44&gt;=S$16),$C44*NETWORKDAYS(MAX($D44,S$16),MIN($E44,S$17),Libur!$A$2:$A$38)/NETWORKDAYS($D44,$E44,Libur!$A$2:$A$38),0)</f>
        <v>0</v>
      </c>
      <c r="T44" s="53">
        <f>IF(AND($D44&lt;=T$17,$E44&gt;=T$16),$C44*NETWORKDAYS(MAX($D44,T$16),MIN($E44,T$17),Libur!$A$2:$A$38)/NETWORKDAYS($D44,$E44,Libur!$A$2:$A$38),0)</f>
        <v>0</v>
      </c>
      <c r="U44" s="53">
        <f>IF(AND($D44&lt;=U$17,$E44&gt;=U$16),$C44*NETWORKDAYS(MAX($D44,U$16),MIN($E44,U$17),Libur!$A$2:$A$38)/NETWORKDAYS($D44,$E44,Libur!$A$2:$A$38),0)</f>
        <v>0</v>
      </c>
      <c r="V44" s="53">
        <f>IF(AND($D44&lt;=V$17,$E44&gt;=V$16),$C44*NETWORKDAYS(MAX($D44,V$16),MIN($E44,V$17),Libur!$A$2:$A$38)/NETWORKDAYS($D44,$E44,Libur!$A$2:$A$38),0)</f>
        <v>0</v>
      </c>
      <c r="W44" s="53">
        <f>IF(AND($D44&lt;=W$17,$E44&gt;=W$16),$C44*NETWORKDAYS(MAX($D44,W$16),MIN($E44,W$17),Libur!$A$2:$A$38)/NETWORKDAYS($D44,$E44,Libur!$A$2:$A$38),0)</f>
        <v>0</v>
      </c>
      <c r="X44" s="53">
        <f>IF(AND($D44&lt;=X$17,$E44&gt;=X$16),$C44*NETWORKDAYS(MAX($D44,X$16),MIN($E44,X$17),Libur!$A$2:$A$38)/NETWORKDAYS($D44,$E44,Libur!$A$2:$A$38),0)</f>
        <v>0</v>
      </c>
      <c r="Y44" s="53">
        <f>IF(AND($D44&lt;=Y$17,$E44&gt;=Y$16),$C44*NETWORKDAYS(MAX($D44,Y$16),MIN($E44,Y$17),Libur!$A$2:$A$38)/NETWORKDAYS($D44,$E44,Libur!$A$2:$A$38),0)</f>
        <v>0</v>
      </c>
      <c r="Z44" s="53">
        <f>IF(AND($D44&lt;=Z$17,$E44&gt;=Z$16),$C44*NETWORKDAYS(MAX($D44,Z$16),MIN($E44,Z$17),Libur!$A$2:$A$38)/NETWORKDAYS($D44,$E44,Libur!$A$2:$A$38),0)</f>
        <v>5.0000000000000001E-3</v>
      </c>
      <c r="AA44" s="53">
        <f>IF(AND($D44&lt;=AA$17,$E44&gt;=AA$16),$C44*NETWORKDAYS(MAX($D44,AA$16),MIN($E44,AA$17),Libur!$A$2:$A$38)/NETWORKDAYS($D44,$E44,Libur!$A$2:$A$38),0)</f>
        <v>1.4999999999999999E-2</v>
      </c>
      <c r="AB44" s="53">
        <f>IF(AND($D44&lt;=AB$17,$E44&gt;=AB$16),$C44*NETWORKDAYS(MAX($D44,AB$16),MIN($E44,AB$17),Libur!$A$2:$A$38)/NETWORKDAYS($D44,$E44,Libur!$A$2:$A$38),0)</f>
        <v>0</v>
      </c>
      <c r="AC44" s="53">
        <f>IF(AND($D44&lt;=AC$17,$E44&gt;=AC$16),$C44*NETWORKDAYS(MAX($D44,AC$16),MIN($E44,AC$17),Libur!$A$2:$A$38)/NETWORKDAYS($D44,$E44,Libur!$A$2:$A$38),0)</f>
        <v>0</v>
      </c>
      <c r="AD44" s="53">
        <f>IF(AND($D44&lt;=AD$17,$E44&gt;=AD$16),$C44*NETWORKDAYS(MAX($D44,AD$16),MIN($E44,AD$17),Libur!$A$2:$A$38)/NETWORKDAYS($D44,$E44,Libur!$A$2:$A$38),0)</f>
        <v>0</v>
      </c>
      <c r="AE44" s="53">
        <f>IF(AND($D44&lt;=AE$17,$E44&gt;=AE$16),$C44*NETWORKDAYS(MAX($D44,AE$16),MIN($E44,AE$17),Libur!$A$2:$A$38)/NETWORKDAYS($D44,$E44,Libur!$A$2:$A$38),0)</f>
        <v>0</v>
      </c>
      <c r="AF44" s="53">
        <f>IF(AND($D44&lt;=AF$17,$E44&gt;=AF$16),$C44*NETWORKDAYS(MAX($D44,AF$16),MIN($E44,AF$17),Libur!$A$2:$A$38)/NETWORKDAYS($D44,$E44,Libur!$A$2:$A$38),0)</f>
        <v>0</v>
      </c>
      <c r="AG44" s="53">
        <f>IF(AND($D44&lt;=AG$17,$E44&gt;=AG$16),$C44*NETWORKDAYS(MAX($D44,AG$16),MIN($E44,AG$17),Libur!$A$2:$A$38)/NETWORKDAYS($D44,$E44,Libur!$A$2:$A$38),0)</f>
        <v>0</v>
      </c>
      <c r="AH44" s="53">
        <f>IF(AND($D44&lt;=AH$17,$E44&gt;=AH$16),$C44*NETWORKDAYS(MAX($D44,AH$16),MIN($E44,AH$17),Libur!$A$2:$A$38)/NETWORKDAYS($D44,$E44,Libur!$A$2:$A$38),0)</f>
        <v>0</v>
      </c>
      <c r="AI44" s="53">
        <f>IF(AND($D44&lt;=AI$17,$E44&gt;=AI$16),$C44*NETWORKDAYS(MAX($D44,AI$16),MIN($E44,AI$17),Libur!$A$2:$A$38)/NETWORKDAYS($D44,$E44,Libur!$A$2:$A$38),0)</f>
        <v>0</v>
      </c>
      <c r="AJ44" s="53">
        <f>IF(AND($D44&lt;=AJ$17,$E44&gt;=AJ$16),$C44*NETWORKDAYS(MAX($D44,AJ$16),MIN($E44,AJ$17),Libur!$A$2:$A$38)/NETWORKDAYS($D44,$E44,Libur!$A$2:$A$38),0)</f>
        <v>0</v>
      </c>
      <c r="AK44" s="53">
        <f>IF(AND($D44&lt;=AK$17,$E44&gt;=AK$16),$C44*NETWORKDAYS(MAX($D44,AK$16),MIN($E44,AK$17),Libur!$A$2:$A$38)/NETWORKDAYS($D44,$E44,Libur!$A$2:$A$38),0)</f>
        <v>0</v>
      </c>
      <c r="AL44" s="53">
        <f>IF(AND($D44&lt;=AL$17,$E44&gt;=AL$16),$C44*NETWORKDAYS(MAX($D44,AL$16),MIN($E44,AL$17),Libur!$A$2:$A$38)/NETWORKDAYS($D44,$E44,Libur!$A$2:$A$38),0)</f>
        <v>0</v>
      </c>
      <c r="AM44" s="53">
        <f>IF(AND($D44&lt;=AM$17,$E44&gt;=AM$16),$C44*NETWORKDAYS(MAX($D44,AM$16),MIN($E44,AM$17),Libur!$A$2:$A$38)/NETWORKDAYS($D44,$E44,Libur!$A$2:$A$38),0)</f>
        <v>0</v>
      </c>
      <c r="AN44" s="53">
        <f>IF(AND($D44&lt;=AN$17,$E44&gt;=AN$16),$C44*NETWORKDAYS(MAX($D44,AN$16),MIN($E44,AN$17),Libur!$A$2:$A$38)/NETWORKDAYS($D44,$E44,Libur!$A$2:$A$38),0)</f>
        <v>0</v>
      </c>
      <c r="AO44" s="53">
        <f>IF(AND($D44&lt;=AO$17,$E44&gt;=AO$16),$C44*NETWORKDAYS(MAX($D44,AO$16),MIN($E44,AO$17),Libur!$A$2:$A$38)/NETWORKDAYS($D44,$E44,Libur!$A$2:$A$38),0)</f>
        <v>0</v>
      </c>
      <c r="AP44" s="53">
        <f>IF(AND($D44&lt;=AP$17,$E44&gt;=AP$16),$C44*NETWORKDAYS(MAX($D44,AP$16),MIN($E44,AP$17),Libur!$A$2:$A$38)/NETWORKDAYS($D44,$E44,Libur!$A$2:$A$38),0)</f>
        <v>0</v>
      </c>
      <c r="AQ44" s="53">
        <f>IF(AND($D44&lt;=AQ$17,$E44&gt;=AQ$16),$C44*NETWORKDAYS(MAX($D44,AQ$16),MIN($E44,AQ$17),Libur!$A$2:$A$38)/NETWORKDAYS($D44,$E44,Libur!$A$2:$A$38),0)</f>
        <v>0</v>
      </c>
      <c r="AR44" s="53">
        <f>IF(AND($D44&lt;=AR$17,$E44&gt;=AR$16),$C44*NETWORKDAYS(MAX($D44,AR$16),MIN($E44,AR$17),Libur!$A$2:$A$38)/NETWORKDAYS($D44,$E44,Libur!$A$2:$A$38),0)</f>
        <v>0</v>
      </c>
      <c r="AS44" s="53">
        <f>IF(AND($D44&lt;=AS$17,$E44&gt;=AS$16),$C44*NETWORKDAYS(MAX($D44,AS$16),MIN($E44,AS$17),Libur!$A$2:$A$38)/NETWORKDAYS($D44,$E44,Libur!$A$2:$A$38),0)</f>
        <v>0</v>
      </c>
      <c r="AT44" s="53">
        <f>IF(AND($D44&lt;=AT$17,$E44&gt;=AT$16),$C44*NETWORKDAYS(MAX($D44,AT$16),MIN($E44,AT$17),Libur!$A$2:$A$38)/NETWORKDAYS($D44,$E44,Libur!$A$2:$A$38),0)</f>
        <v>0</v>
      </c>
      <c r="AU44" s="53">
        <f>IF(AND($D44&lt;=AU$17,$E44&gt;=AU$16),$C44*NETWORKDAYS(MAX($D44,AU$16),MIN($E44,AU$17),Libur!$A$2:$A$38)/NETWORKDAYS($D44,$E44,Libur!$A$2:$A$38),0)</f>
        <v>0</v>
      </c>
      <c r="AV44" s="53">
        <f>IF(AND($D44&lt;=AV$17,$E44&gt;=AV$16),$C44*NETWORKDAYS(MAX($D44,AV$16),MIN($E44,AV$17),Libur!$A$2:$A$38)/NETWORKDAYS($D44,$E44,Libur!$A$2:$A$38),0)</f>
        <v>0</v>
      </c>
      <c r="AW44" s="53">
        <f>IF(AND($D44&lt;=AW$17,$E44&gt;=AW$16),$C44*NETWORKDAYS(MAX($D44,AW$16),MIN($E44,AW$17),Libur!$A$2:$A$38)/NETWORKDAYS($D44,$E44,Libur!$A$2:$A$38),0)</f>
        <v>0</v>
      </c>
      <c r="AX44" s="53">
        <f>IF(AND($D44&lt;=AX$17,$E44&gt;=AX$16),$C44*NETWORKDAYS(MAX($D44,AX$16),MIN($E44,AX$17),Libur!$A$2:$A$38)/NETWORKDAYS($D44,$E44,Libur!$A$2:$A$38),0)</f>
        <v>0</v>
      </c>
      <c r="AY44" s="53">
        <f>IF(AND($D44&lt;=AY$17,$E44&gt;=AY$16),$C44*NETWORKDAYS(MAX($D44,AY$16),MIN($E44,AY$17),Libur!$A$2:$A$38)/NETWORKDAYS($D44,$E44,Libur!$A$2:$A$38),0)</f>
        <v>0</v>
      </c>
      <c r="AZ44" s="53">
        <f>IF(AND($D44&lt;=AZ$17,$E44&gt;=AZ$16),$C44*NETWORKDAYS(MAX($D44,AZ$16),MIN($E44,AZ$17),Libur!$A$2:$A$38)/NETWORKDAYS($D44,$E44,Libur!$A$2:$A$38),0)</f>
        <v>0</v>
      </c>
      <c r="BA44" s="53">
        <f>IF(AND($D44&lt;=BA$17,$E44&gt;=BA$16),$C44*NETWORKDAYS(MAX($D44,BA$16),MIN($E44,BA$17),Libur!$A$2:$A$38)/NETWORKDAYS($D44,$E44,Libur!$A$2:$A$38),0)</f>
        <v>0</v>
      </c>
      <c r="BB44" s="53">
        <f>IF(AND($D44&lt;=BB$17,$E44&gt;=BB$16),$C44*NETWORKDAYS(MAX($D44,BB$16),MIN($E44,BB$17),Libur!$A$2:$A$38)/NETWORKDAYS($D44,$E44,Libur!$A$2:$A$38),0)</f>
        <v>0</v>
      </c>
      <c r="BC44" s="53">
        <f>IF(AND($D44&lt;=BC$17,$E44&gt;=BC$16),$C44*NETWORKDAYS(MAX($D44,BC$16),MIN($E44,BC$17),Libur!$A$2:$A$38)/NETWORKDAYS($D44,$E44,Libur!$A$2:$A$38),0)</f>
        <v>0</v>
      </c>
      <c r="BD44" s="53">
        <f>IF(AND($D44&lt;=BD$17,$E44&gt;=BD$16),$C44*NETWORKDAYS(MAX($D44,BD$16),MIN($E44,BD$17),Libur!$A$2:$A$38)/NETWORKDAYS($D44,$E44,Libur!$A$2:$A$38),0)</f>
        <v>0</v>
      </c>
      <c r="BE44" s="53">
        <f>IF(AND($D44&lt;=BE$17,$E44&gt;=BE$16),$C44*NETWORKDAYS(MAX($D44,BE$16),MIN($E44,BE$17),Libur!$A$2:$A$38)/NETWORKDAYS($D44,$E44,Libur!$A$2:$A$38),0)</f>
        <v>0</v>
      </c>
      <c r="BF44" s="53">
        <f>IF(AND($D44&lt;=BF$17,$E44&gt;=BF$16),$C44*NETWORKDAYS(MAX($D44,BF$16),MIN($E44,BF$17),Libur!$A$2:$A$38)/NETWORKDAYS($D44,$E44,Libur!$A$2:$A$38),0)</f>
        <v>0</v>
      </c>
      <c r="BG44" s="53">
        <f>IF(AND($D44&lt;=BG$17,$E44&gt;=BG$16),$C44*NETWORKDAYS(MAX($D44,BG$16),MIN($E44,BG$17),Libur!$A$2:$A$38)/NETWORKDAYS($D44,$E44,Libur!$A$2:$A$38),0)</f>
        <v>0</v>
      </c>
      <c r="BH44" s="53">
        <f>IF(AND($D44&lt;=BH$17,$E44&gt;=BH$16),$C44*NETWORKDAYS(MAX($D44,BH$16),MIN($E44,BH$17),Libur!$A$2:$A$38)/NETWORKDAYS($D44,$E44,Libur!$A$2:$A$38),0)</f>
        <v>0</v>
      </c>
      <c r="BI44" s="53">
        <f>IF(AND($D44&lt;=BI$17,$E44&gt;=BI$16),$C44*NETWORKDAYS(MAX($D44,BI$16),MIN($E44,BI$17),Libur!$A$2:$A$38)/NETWORKDAYS($D44,$E44,Libur!$A$2:$A$38),0)</f>
        <v>0</v>
      </c>
      <c r="BJ44" s="53">
        <f>IF(AND($D44&lt;=BJ$17,$E44&gt;=BJ$16),$C44*NETWORKDAYS(MAX($D44,BJ$16),MIN($E44,BJ$17),Libur!$A$2:$A$38)/NETWORKDAYS($D44,$E44,Libur!$A$2:$A$38),0)</f>
        <v>0</v>
      </c>
      <c r="BK44" s="53">
        <f>IF(AND($D44&lt;=BK$17,$E44&gt;=BK$16),$C44*NETWORKDAYS(MAX($D44,BK$16),MIN($E44,BK$17),Libur!$A$2:$A$38)/NETWORKDAYS($D44,$E44,Libur!$A$2:$A$38),0)</f>
        <v>0</v>
      </c>
    </row>
    <row r="45" spans="1:63" x14ac:dyDescent="0.25">
      <c r="A45" s="45"/>
      <c r="B45" s="46" t="s">
        <v>97</v>
      </c>
      <c r="C45" s="48">
        <v>0.01</v>
      </c>
      <c r="D45" s="47">
        <v>46226</v>
      </c>
      <c r="E45" s="47">
        <v>46231</v>
      </c>
      <c r="F45" s="7">
        <f t="shared" si="3"/>
        <v>0.01</v>
      </c>
      <c r="G45" s="48">
        <f t="shared" si="4"/>
        <v>0.01</v>
      </c>
      <c r="H45" s="49">
        <f>NETWORKDAYS(D45,E45,Libur!$A$2:$A$56)</f>
        <v>4</v>
      </c>
      <c r="I45" s="48">
        <f t="shared" si="2"/>
        <v>0</v>
      </c>
      <c r="J45" s="48">
        <f t="shared" si="5"/>
        <v>0</v>
      </c>
      <c r="K45" s="48">
        <v>0</v>
      </c>
      <c r="L45" s="48">
        <f t="shared" si="6"/>
        <v>0</v>
      </c>
      <c r="M45" s="48">
        <f t="shared" si="7"/>
        <v>0</v>
      </c>
      <c r="N45" s="51">
        <f t="shared" si="8"/>
        <v>0.01</v>
      </c>
      <c r="O45" s="52">
        <f t="shared" si="9"/>
        <v>0.01</v>
      </c>
      <c r="P45" s="53">
        <f>IF(AND($D45&lt;=P$17,$E45&gt;=P$16),$C45*NETWORKDAYS(MAX($D45,P$16),MIN($E45,P$17),Libur!$A$2:$A$38)/NETWORKDAYS($D45,$E45,Libur!$A$2:$A$38),0)</f>
        <v>0</v>
      </c>
      <c r="Q45" s="53">
        <f>IF(AND($D45&lt;=Q$17,$E45&gt;=Q$16),$C45*NETWORKDAYS(MAX($D45,Q$16),MIN($E45,Q$17),Libur!$A$2:$A$38)/NETWORKDAYS($D45,$E45,Libur!$A$2:$A$38),0)</f>
        <v>0</v>
      </c>
      <c r="R45" s="53">
        <f>IF(AND($D45&lt;=R$17,$E45&gt;=R$16),$C45*NETWORKDAYS(MAX($D45,R$16),MIN($E45,R$17),Libur!$A$2:$A$38)/NETWORKDAYS($D45,$E45,Libur!$A$2:$A$38),0)</f>
        <v>0</v>
      </c>
      <c r="S45" s="53">
        <f>IF(AND($D45&lt;=S$17,$E45&gt;=S$16),$C45*NETWORKDAYS(MAX($D45,S$16),MIN($E45,S$17),Libur!$A$2:$A$38)/NETWORKDAYS($D45,$E45,Libur!$A$2:$A$38),0)</f>
        <v>0</v>
      </c>
      <c r="T45" s="53">
        <f>IF(AND($D45&lt;=T$17,$E45&gt;=T$16),$C45*NETWORKDAYS(MAX($D45,T$16),MIN($E45,T$17),Libur!$A$2:$A$38)/NETWORKDAYS($D45,$E45,Libur!$A$2:$A$38),0)</f>
        <v>0</v>
      </c>
      <c r="U45" s="53">
        <f>IF(AND($D45&lt;=U$17,$E45&gt;=U$16),$C45*NETWORKDAYS(MAX($D45,U$16),MIN($E45,U$17),Libur!$A$2:$A$38)/NETWORKDAYS($D45,$E45,Libur!$A$2:$A$38),0)</f>
        <v>0</v>
      </c>
      <c r="V45" s="53">
        <f>IF(AND($D45&lt;=V$17,$E45&gt;=V$16),$C45*NETWORKDAYS(MAX($D45,V$16),MIN($E45,V$17),Libur!$A$2:$A$38)/NETWORKDAYS($D45,$E45,Libur!$A$2:$A$38),0)</f>
        <v>0</v>
      </c>
      <c r="W45" s="53">
        <f>IF(AND($D45&lt;=W$17,$E45&gt;=W$16),$C45*NETWORKDAYS(MAX($D45,W$16),MIN($E45,W$17),Libur!$A$2:$A$38)/NETWORKDAYS($D45,$E45,Libur!$A$2:$A$38),0)</f>
        <v>0</v>
      </c>
      <c r="X45" s="53">
        <f>IF(AND($D45&lt;=X$17,$E45&gt;=X$16),$C45*NETWORKDAYS(MAX($D45,X$16),MIN($E45,X$17),Libur!$A$2:$A$38)/NETWORKDAYS($D45,$E45,Libur!$A$2:$A$38),0)</f>
        <v>0</v>
      </c>
      <c r="Y45" s="53">
        <f>IF(AND($D45&lt;=Y$17,$E45&gt;=Y$16),$C45*NETWORKDAYS(MAX($D45,Y$16),MIN($E45,Y$17),Libur!$A$2:$A$38)/NETWORKDAYS($D45,$E45,Libur!$A$2:$A$38),0)</f>
        <v>0</v>
      </c>
      <c r="Z45" s="53">
        <f>IF(AND($D45&lt;=Z$17,$E45&gt;=Z$16),$C45*NETWORKDAYS(MAX($D45,Z$16),MIN($E45,Z$17),Libur!$A$2:$A$38)/NETWORKDAYS($D45,$E45,Libur!$A$2:$A$38),0)</f>
        <v>0</v>
      </c>
      <c r="AA45" s="53">
        <f>IF(AND($D45&lt;=AA$17,$E45&gt;=AA$16),$C45*NETWORKDAYS(MAX($D45,AA$16),MIN($E45,AA$17),Libur!$A$2:$A$38)/NETWORKDAYS($D45,$E45,Libur!$A$2:$A$38),0)</f>
        <v>5.0000000000000001E-3</v>
      </c>
      <c r="AB45" s="53">
        <f>IF(AND($D45&lt;=AB$17,$E45&gt;=AB$16),$C45*NETWORKDAYS(MAX($D45,AB$16),MIN($E45,AB$17),Libur!$A$2:$A$38)/NETWORKDAYS($D45,$E45,Libur!$A$2:$A$38),0)</f>
        <v>5.0000000000000001E-3</v>
      </c>
      <c r="AC45" s="53">
        <f>IF(AND($D45&lt;=AC$17,$E45&gt;=AC$16),$C45*NETWORKDAYS(MAX($D45,AC$16),MIN($E45,AC$17),Libur!$A$2:$A$38)/NETWORKDAYS($D45,$E45,Libur!$A$2:$A$38),0)</f>
        <v>0</v>
      </c>
      <c r="AD45" s="53">
        <f>IF(AND($D45&lt;=AD$17,$E45&gt;=AD$16),$C45*NETWORKDAYS(MAX($D45,AD$16),MIN($E45,AD$17),Libur!$A$2:$A$38)/NETWORKDAYS($D45,$E45,Libur!$A$2:$A$38),0)</f>
        <v>0</v>
      </c>
      <c r="AE45" s="53">
        <f>IF(AND($D45&lt;=AE$17,$E45&gt;=AE$16),$C45*NETWORKDAYS(MAX($D45,AE$16),MIN($E45,AE$17),Libur!$A$2:$A$38)/NETWORKDAYS($D45,$E45,Libur!$A$2:$A$38),0)</f>
        <v>0</v>
      </c>
      <c r="AF45" s="53">
        <f>IF(AND($D45&lt;=AF$17,$E45&gt;=AF$16),$C45*NETWORKDAYS(MAX($D45,AF$16),MIN($E45,AF$17),Libur!$A$2:$A$38)/NETWORKDAYS($D45,$E45,Libur!$A$2:$A$38),0)</f>
        <v>0</v>
      </c>
      <c r="AG45" s="53">
        <f>IF(AND($D45&lt;=AG$17,$E45&gt;=AG$16),$C45*NETWORKDAYS(MAX($D45,AG$16),MIN($E45,AG$17),Libur!$A$2:$A$38)/NETWORKDAYS($D45,$E45,Libur!$A$2:$A$38),0)</f>
        <v>0</v>
      </c>
      <c r="AH45" s="53">
        <f>IF(AND($D45&lt;=AH$17,$E45&gt;=AH$16),$C45*NETWORKDAYS(MAX($D45,AH$16),MIN($E45,AH$17),Libur!$A$2:$A$38)/NETWORKDAYS($D45,$E45,Libur!$A$2:$A$38),0)</f>
        <v>0</v>
      </c>
      <c r="AI45" s="53">
        <f>IF(AND($D45&lt;=AI$17,$E45&gt;=AI$16),$C45*NETWORKDAYS(MAX($D45,AI$16),MIN($E45,AI$17),Libur!$A$2:$A$38)/NETWORKDAYS($D45,$E45,Libur!$A$2:$A$38),0)</f>
        <v>0</v>
      </c>
      <c r="AJ45" s="53">
        <f>IF(AND($D45&lt;=AJ$17,$E45&gt;=AJ$16),$C45*NETWORKDAYS(MAX($D45,AJ$16),MIN($E45,AJ$17),Libur!$A$2:$A$38)/NETWORKDAYS($D45,$E45,Libur!$A$2:$A$38),0)</f>
        <v>0</v>
      </c>
      <c r="AK45" s="53">
        <f>IF(AND($D45&lt;=AK$17,$E45&gt;=AK$16),$C45*NETWORKDAYS(MAX($D45,AK$16),MIN($E45,AK$17),Libur!$A$2:$A$38)/NETWORKDAYS($D45,$E45,Libur!$A$2:$A$38),0)</f>
        <v>0</v>
      </c>
      <c r="AL45" s="53">
        <f>IF(AND($D45&lt;=AL$17,$E45&gt;=AL$16),$C45*NETWORKDAYS(MAX($D45,AL$16),MIN($E45,AL$17),Libur!$A$2:$A$38)/NETWORKDAYS($D45,$E45,Libur!$A$2:$A$38),0)</f>
        <v>0</v>
      </c>
      <c r="AM45" s="53">
        <f>IF(AND($D45&lt;=AM$17,$E45&gt;=AM$16),$C45*NETWORKDAYS(MAX($D45,AM$16),MIN($E45,AM$17),Libur!$A$2:$A$38)/NETWORKDAYS($D45,$E45,Libur!$A$2:$A$38),0)</f>
        <v>0</v>
      </c>
      <c r="AN45" s="53">
        <f>IF(AND($D45&lt;=AN$17,$E45&gt;=AN$16),$C45*NETWORKDAYS(MAX($D45,AN$16),MIN($E45,AN$17),Libur!$A$2:$A$38)/NETWORKDAYS($D45,$E45,Libur!$A$2:$A$38),0)</f>
        <v>0</v>
      </c>
      <c r="AO45" s="53">
        <f>IF(AND($D45&lt;=AO$17,$E45&gt;=AO$16),$C45*NETWORKDAYS(MAX($D45,AO$16),MIN($E45,AO$17),Libur!$A$2:$A$38)/NETWORKDAYS($D45,$E45,Libur!$A$2:$A$38),0)</f>
        <v>0</v>
      </c>
      <c r="AP45" s="53">
        <f>IF(AND($D45&lt;=AP$17,$E45&gt;=AP$16),$C45*NETWORKDAYS(MAX($D45,AP$16),MIN($E45,AP$17),Libur!$A$2:$A$38)/NETWORKDAYS($D45,$E45,Libur!$A$2:$A$38),0)</f>
        <v>0</v>
      </c>
      <c r="AQ45" s="53">
        <f>IF(AND($D45&lt;=AQ$17,$E45&gt;=AQ$16),$C45*NETWORKDAYS(MAX($D45,AQ$16),MIN($E45,AQ$17),Libur!$A$2:$A$38)/NETWORKDAYS($D45,$E45,Libur!$A$2:$A$38),0)</f>
        <v>0</v>
      </c>
      <c r="AR45" s="53">
        <f>IF(AND($D45&lt;=AR$17,$E45&gt;=AR$16),$C45*NETWORKDAYS(MAX($D45,AR$16),MIN($E45,AR$17),Libur!$A$2:$A$38)/NETWORKDAYS($D45,$E45,Libur!$A$2:$A$38),0)</f>
        <v>0</v>
      </c>
      <c r="AS45" s="53">
        <f>IF(AND($D45&lt;=AS$17,$E45&gt;=AS$16),$C45*NETWORKDAYS(MAX($D45,AS$16),MIN($E45,AS$17),Libur!$A$2:$A$38)/NETWORKDAYS($D45,$E45,Libur!$A$2:$A$38),0)</f>
        <v>0</v>
      </c>
      <c r="AT45" s="53">
        <f>IF(AND($D45&lt;=AT$17,$E45&gt;=AT$16),$C45*NETWORKDAYS(MAX($D45,AT$16),MIN($E45,AT$17),Libur!$A$2:$A$38)/NETWORKDAYS($D45,$E45,Libur!$A$2:$A$38),0)</f>
        <v>0</v>
      </c>
      <c r="AU45" s="53">
        <f>IF(AND($D45&lt;=AU$17,$E45&gt;=AU$16),$C45*NETWORKDAYS(MAX($D45,AU$16),MIN($E45,AU$17),Libur!$A$2:$A$38)/NETWORKDAYS($D45,$E45,Libur!$A$2:$A$38),0)</f>
        <v>0</v>
      </c>
      <c r="AV45" s="53">
        <f>IF(AND($D45&lt;=AV$17,$E45&gt;=AV$16),$C45*NETWORKDAYS(MAX($D45,AV$16),MIN($E45,AV$17),Libur!$A$2:$A$38)/NETWORKDAYS($D45,$E45,Libur!$A$2:$A$38),0)</f>
        <v>0</v>
      </c>
      <c r="AW45" s="53">
        <f>IF(AND($D45&lt;=AW$17,$E45&gt;=AW$16),$C45*NETWORKDAYS(MAX($D45,AW$16),MIN($E45,AW$17),Libur!$A$2:$A$38)/NETWORKDAYS($D45,$E45,Libur!$A$2:$A$38),0)</f>
        <v>0</v>
      </c>
      <c r="AX45" s="53">
        <f>IF(AND($D45&lt;=AX$17,$E45&gt;=AX$16),$C45*NETWORKDAYS(MAX($D45,AX$16),MIN($E45,AX$17),Libur!$A$2:$A$38)/NETWORKDAYS($D45,$E45,Libur!$A$2:$A$38),0)</f>
        <v>0</v>
      </c>
      <c r="AY45" s="53">
        <f>IF(AND($D45&lt;=AY$17,$E45&gt;=AY$16),$C45*NETWORKDAYS(MAX($D45,AY$16),MIN($E45,AY$17),Libur!$A$2:$A$38)/NETWORKDAYS($D45,$E45,Libur!$A$2:$A$38),0)</f>
        <v>0</v>
      </c>
      <c r="AZ45" s="53">
        <f>IF(AND($D45&lt;=AZ$17,$E45&gt;=AZ$16),$C45*NETWORKDAYS(MAX($D45,AZ$16),MIN($E45,AZ$17),Libur!$A$2:$A$38)/NETWORKDAYS($D45,$E45,Libur!$A$2:$A$38),0)</f>
        <v>0</v>
      </c>
      <c r="BA45" s="53">
        <f>IF(AND($D45&lt;=BA$17,$E45&gt;=BA$16),$C45*NETWORKDAYS(MAX($D45,BA$16),MIN($E45,BA$17),Libur!$A$2:$A$38)/NETWORKDAYS($D45,$E45,Libur!$A$2:$A$38),0)</f>
        <v>0</v>
      </c>
      <c r="BB45" s="53">
        <f>IF(AND($D45&lt;=BB$17,$E45&gt;=BB$16),$C45*NETWORKDAYS(MAX($D45,BB$16),MIN($E45,BB$17),Libur!$A$2:$A$38)/NETWORKDAYS($D45,$E45,Libur!$A$2:$A$38),0)</f>
        <v>0</v>
      </c>
      <c r="BC45" s="53">
        <f>IF(AND($D45&lt;=BC$17,$E45&gt;=BC$16),$C45*NETWORKDAYS(MAX($D45,BC$16),MIN($E45,BC$17),Libur!$A$2:$A$38)/NETWORKDAYS($D45,$E45,Libur!$A$2:$A$38),0)</f>
        <v>0</v>
      </c>
      <c r="BD45" s="53">
        <f>IF(AND($D45&lt;=BD$17,$E45&gt;=BD$16),$C45*NETWORKDAYS(MAX($D45,BD$16),MIN($E45,BD$17),Libur!$A$2:$A$38)/NETWORKDAYS($D45,$E45,Libur!$A$2:$A$38),0)</f>
        <v>0</v>
      </c>
      <c r="BE45" s="53">
        <f>IF(AND($D45&lt;=BE$17,$E45&gt;=BE$16),$C45*NETWORKDAYS(MAX($D45,BE$16),MIN($E45,BE$17),Libur!$A$2:$A$38)/NETWORKDAYS($D45,$E45,Libur!$A$2:$A$38),0)</f>
        <v>0</v>
      </c>
      <c r="BF45" s="53">
        <f>IF(AND($D45&lt;=BF$17,$E45&gt;=BF$16),$C45*NETWORKDAYS(MAX($D45,BF$16),MIN($E45,BF$17),Libur!$A$2:$A$38)/NETWORKDAYS($D45,$E45,Libur!$A$2:$A$38),0)</f>
        <v>0</v>
      </c>
      <c r="BG45" s="53">
        <f>IF(AND($D45&lt;=BG$17,$E45&gt;=BG$16),$C45*NETWORKDAYS(MAX($D45,BG$16),MIN($E45,BG$17),Libur!$A$2:$A$38)/NETWORKDAYS($D45,$E45,Libur!$A$2:$A$38),0)</f>
        <v>0</v>
      </c>
      <c r="BH45" s="53">
        <f>IF(AND($D45&lt;=BH$17,$E45&gt;=BH$16),$C45*NETWORKDAYS(MAX($D45,BH$16),MIN($E45,BH$17),Libur!$A$2:$A$38)/NETWORKDAYS($D45,$E45,Libur!$A$2:$A$38),0)</f>
        <v>0</v>
      </c>
      <c r="BI45" s="53">
        <f>IF(AND($D45&lt;=BI$17,$E45&gt;=BI$16),$C45*NETWORKDAYS(MAX($D45,BI$16),MIN($E45,BI$17),Libur!$A$2:$A$38)/NETWORKDAYS($D45,$E45,Libur!$A$2:$A$38),0)</f>
        <v>0</v>
      </c>
      <c r="BJ45" s="53">
        <f>IF(AND($D45&lt;=BJ$17,$E45&gt;=BJ$16),$C45*NETWORKDAYS(MAX($D45,BJ$16),MIN($E45,BJ$17),Libur!$A$2:$A$38)/NETWORKDAYS($D45,$E45,Libur!$A$2:$A$38),0)</f>
        <v>0</v>
      </c>
      <c r="BK45" s="53">
        <f>IF(AND($D45&lt;=BK$17,$E45&gt;=BK$16),$C45*NETWORKDAYS(MAX($D45,BK$16),MIN($E45,BK$17),Libur!$A$2:$A$38)/NETWORKDAYS($D45,$E45,Libur!$A$2:$A$38),0)</f>
        <v>0</v>
      </c>
    </row>
    <row r="46" spans="1:63" x14ac:dyDescent="0.25">
      <c r="A46" s="45"/>
      <c r="B46" s="46" t="s">
        <v>98</v>
      </c>
      <c r="C46" s="48">
        <v>0.02</v>
      </c>
      <c r="D46" s="47">
        <v>46232</v>
      </c>
      <c r="E46" s="47">
        <v>46234</v>
      </c>
      <c r="F46" s="7">
        <f t="shared" si="3"/>
        <v>0.02</v>
      </c>
      <c r="G46" s="48">
        <f t="shared" si="4"/>
        <v>0.02</v>
      </c>
      <c r="H46" s="49">
        <f>NETWORKDAYS(D46,E46,Libur!$A$2:$A$56)</f>
        <v>3</v>
      </c>
      <c r="I46" s="48">
        <f t="shared" si="2"/>
        <v>0</v>
      </c>
      <c r="J46" s="48">
        <f t="shared" si="5"/>
        <v>0</v>
      </c>
      <c r="K46" s="48">
        <v>0</v>
      </c>
      <c r="L46" s="48">
        <f t="shared" si="6"/>
        <v>0</v>
      </c>
      <c r="M46" s="48">
        <f t="shared" si="7"/>
        <v>0</v>
      </c>
      <c r="N46" s="51">
        <f t="shared" si="8"/>
        <v>0.02</v>
      </c>
      <c r="O46" s="52">
        <f t="shared" si="9"/>
        <v>0.02</v>
      </c>
      <c r="P46" s="53">
        <f>IF(AND($D46&lt;=P$17,$E46&gt;=P$16),$C46*NETWORKDAYS(MAX($D46,P$16),MIN($E46,P$17),Libur!$A$2:$A$38)/NETWORKDAYS($D46,$E46,Libur!$A$2:$A$38),0)</f>
        <v>0</v>
      </c>
      <c r="Q46" s="53">
        <f>IF(AND($D46&lt;=Q$17,$E46&gt;=Q$16),$C46*NETWORKDAYS(MAX($D46,Q$16),MIN($E46,Q$17),Libur!$A$2:$A$38)/NETWORKDAYS($D46,$E46,Libur!$A$2:$A$38),0)</f>
        <v>0</v>
      </c>
      <c r="R46" s="53">
        <f>IF(AND($D46&lt;=R$17,$E46&gt;=R$16),$C46*NETWORKDAYS(MAX($D46,R$16),MIN($E46,R$17),Libur!$A$2:$A$38)/NETWORKDAYS($D46,$E46,Libur!$A$2:$A$38),0)</f>
        <v>0</v>
      </c>
      <c r="S46" s="53">
        <f>IF(AND($D46&lt;=S$17,$E46&gt;=S$16),$C46*NETWORKDAYS(MAX($D46,S$16),MIN($E46,S$17),Libur!$A$2:$A$38)/NETWORKDAYS($D46,$E46,Libur!$A$2:$A$38),0)</f>
        <v>0</v>
      </c>
      <c r="T46" s="53">
        <f>IF(AND($D46&lt;=T$17,$E46&gt;=T$16),$C46*NETWORKDAYS(MAX($D46,T$16),MIN($E46,T$17),Libur!$A$2:$A$38)/NETWORKDAYS($D46,$E46,Libur!$A$2:$A$38),0)</f>
        <v>0</v>
      </c>
      <c r="U46" s="53">
        <f>IF(AND($D46&lt;=U$17,$E46&gt;=U$16),$C46*NETWORKDAYS(MAX($D46,U$16),MIN($E46,U$17),Libur!$A$2:$A$38)/NETWORKDAYS($D46,$E46,Libur!$A$2:$A$38),0)</f>
        <v>0</v>
      </c>
      <c r="V46" s="53">
        <f>IF(AND($D46&lt;=V$17,$E46&gt;=V$16),$C46*NETWORKDAYS(MAX($D46,V$16),MIN($E46,V$17),Libur!$A$2:$A$38)/NETWORKDAYS($D46,$E46,Libur!$A$2:$A$38),0)</f>
        <v>0</v>
      </c>
      <c r="W46" s="53">
        <f>IF(AND($D46&lt;=W$17,$E46&gt;=W$16),$C46*NETWORKDAYS(MAX($D46,W$16),MIN($E46,W$17),Libur!$A$2:$A$38)/NETWORKDAYS($D46,$E46,Libur!$A$2:$A$38),0)</f>
        <v>0</v>
      </c>
      <c r="X46" s="53">
        <f>IF(AND($D46&lt;=X$17,$E46&gt;=X$16),$C46*NETWORKDAYS(MAX($D46,X$16),MIN($E46,X$17),Libur!$A$2:$A$38)/NETWORKDAYS($D46,$E46,Libur!$A$2:$A$38),0)</f>
        <v>0</v>
      </c>
      <c r="Y46" s="53">
        <f>IF(AND($D46&lt;=Y$17,$E46&gt;=Y$16),$C46*NETWORKDAYS(MAX($D46,Y$16),MIN($E46,Y$17),Libur!$A$2:$A$38)/NETWORKDAYS($D46,$E46,Libur!$A$2:$A$38),0)</f>
        <v>0</v>
      </c>
      <c r="Z46" s="53">
        <f>IF(AND($D46&lt;=Z$17,$E46&gt;=Z$16),$C46*NETWORKDAYS(MAX($D46,Z$16),MIN($E46,Z$17),Libur!$A$2:$A$38)/NETWORKDAYS($D46,$E46,Libur!$A$2:$A$38),0)</f>
        <v>0</v>
      </c>
      <c r="AA46" s="53">
        <f>IF(AND($D46&lt;=AA$17,$E46&gt;=AA$16),$C46*NETWORKDAYS(MAX($D46,AA$16),MIN($E46,AA$17),Libur!$A$2:$A$38)/NETWORKDAYS($D46,$E46,Libur!$A$2:$A$38),0)</f>
        <v>0</v>
      </c>
      <c r="AB46" s="53">
        <f>IF(AND($D46&lt;=AB$17,$E46&gt;=AB$16),$C46*NETWORKDAYS(MAX($D46,AB$16),MIN($E46,AB$17),Libur!$A$2:$A$38)/NETWORKDAYS($D46,$E46,Libur!$A$2:$A$38),0)</f>
        <v>0.02</v>
      </c>
      <c r="AC46" s="53">
        <f>IF(AND($D46&lt;=AC$17,$E46&gt;=AC$16),$C46*NETWORKDAYS(MAX($D46,AC$16),MIN($E46,AC$17),Libur!$A$2:$A$38)/NETWORKDAYS($D46,$E46,Libur!$A$2:$A$38),0)</f>
        <v>0</v>
      </c>
      <c r="AD46" s="53">
        <f>IF(AND($D46&lt;=AD$17,$E46&gt;=AD$16),$C46*NETWORKDAYS(MAX($D46,AD$16),MIN($E46,AD$17),Libur!$A$2:$A$38)/NETWORKDAYS($D46,$E46,Libur!$A$2:$A$38),0)</f>
        <v>0</v>
      </c>
      <c r="AE46" s="53">
        <f>IF(AND($D46&lt;=AE$17,$E46&gt;=AE$16),$C46*NETWORKDAYS(MAX($D46,AE$16),MIN($E46,AE$17),Libur!$A$2:$A$38)/NETWORKDAYS($D46,$E46,Libur!$A$2:$A$38),0)</f>
        <v>0</v>
      </c>
      <c r="AF46" s="53">
        <f>IF(AND($D46&lt;=AF$17,$E46&gt;=AF$16),$C46*NETWORKDAYS(MAX($D46,AF$16),MIN($E46,AF$17),Libur!$A$2:$A$38)/NETWORKDAYS($D46,$E46,Libur!$A$2:$A$38),0)</f>
        <v>0</v>
      </c>
      <c r="AG46" s="53">
        <f>IF(AND($D46&lt;=AG$17,$E46&gt;=AG$16),$C46*NETWORKDAYS(MAX($D46,AG$16),MIN($E46,AG$17),Libur!$A$2:$A$38)/NETWORKDAYS($D46,$E46,Libur!$A$2:$A$38),0)</f>
        <v>0</v>
      </c>
      <c r="AH46" s="53">
        <f>IF(AND($D46&lt;=AH$17,$E46&gt;=AH$16),$C46*NETWORKDAYS(MAX($D46,AH$16),MIN($E46,AH$17),Libur!$A$2:$A$38)/NETWORKDAYS($D46,$E46,Libur!$A$2:$A$38),0)</f>
        <v>0</v>
      </c>
      <c r="AI46" s="53">
        <f>IF(AND($D46&lt;=AI$17,$E46&gt;=AI$16),$C46*NETWORKDAYS(MAX($D46,AI$16),MIN($E46,AI$17),Libur!$A$2:$A$38)/NETWORKDAYS($D46,$E46,Libur!$A$2:$A$38),0)</f>
        <v>0</v>
      </c>
      <c r="AJ46" s="53">
        <f>IF(AND($D46&lt;=AJ$17,$E46&gt;=AJ$16),$C46*NETWORKDAYS(MAX($D46,AJ$16),MIN($E46,AJ$17),Libur!$A$2:$A$38)/NETWORKDAYS($D46,$E46,Libur!$A$2:$A$38),0)</f>
        <v>0</v>
      </c>
      <c r="AK46" s="53">
        <f>IF(AND($D46&lt;=AK$17,$E46&gt;=AK$16),$C46*NETWORKDAYS(MAX($D46,AK$16),MIN($E46,AK$17),Libur!$A$2:$A$38)/NETWORKDAYS($D46,$E46,Libur!$A$2:$A$38),0)</f>
        <v>0</v>
      </c>
      <c r="AL46" s="53">
        <f>IF(AND($D46&lt;=AL$17,$E46&gt;=AL$16),$C46*NETWORKDAYS(MAX($D46,AL$16),MIN($E46,AL$17),Libur!$A$2:$A$38)/NETWORKDAYS($D46,$E46,Libur!$A$2:$A$38),0)</f>
        <v>0</v>
      </c>
      <c r="AM46" s="53">
        <f>IF(AND($D46&lt;=AM$17,$E46&gt;=AM$16),$C46*NETWORKDAYS(MAX($D46,AM$16),MIN($E46,AM$17),Libur!$A$2:$A$38)/NETWORKDAYS($D46,$E46,Libur!$A$2:$A$38),0)</f>
        <v>0</v>
      </c>
      <c r="AN46" s="53">
        <f>IF(AND($D46&lt;=AN$17,$E46&gt;=AN$16),$C46*NETWORKDAYS(MAX($D46,AN$16),MIN($E46,AN$17),Libur!$A$2:$A$38)/NETWORKDAYS($D46,$E46,Libur!$A$2:$A$38),0)</f>
        <v>0</v>
      </c>
      <c r="AO46" s="53">
        <f>IF(AND($D46&lt;=AO$17,$E46&gt;=AO$16),$C46*NETWORKDAYS(MAX($D46,AO$16),MIN($E46,AO$17),Libur!$A$2:$A$38)/NETWORKDAYS($D46,$E46,Libur!$A$2:$A$38),0)</f>
        <v>0</v>
      </c>
      <c r="AP46" s="53">
        <f>IF(AND($D46&lt;=AP$17,$E46&gt;=AP$16),$C46*NETWORKDAYS(MAX($D46,AP$16),MIN($E46,AP$17),Libur!$A$2:$A$38)/NETWORKDAYS($D46,$E46,Libur!$A$2:$A$38),0)</f>
        <v>0</v>
      </c>
      <c r="AQ46" s="53">
        <f>IF(AND($D46&lt;=AQ$17,$E46&gt;=AQ$16),$C46*NETWORKDAYS(MAX($D46,AQ$16),MIN($E46,AQ$17),Libur!$A$2:$A$38)/NETWORKDAYS($D46,$E46,Libur!$A$2:$A$38),0)</f>
        <v>0</v>
      </c>
      <c r="AR46" s="53">
        <f>IF(AND($D46&lt;=AR$17,$E46&gt;=AR$16),$C46*NETWORKDAYS(MAX($D46,AR$16),MIN($E46,AR$17),Libur!$A$2:$A$38)/NETWORKDAYS($D46,$E46,Libur!$A$2:$A$38),0)</f>
        <v>0</v>
      </c>
      <c r="AS46" s="53">
        <f>IF(AND($D46&lt;=AS$17,$E46&gt;=AS$16),$C46*NETWORKDAYS(MAX($D46,AS$16),MIN($E46,AS$17),Libur!$A$2:$A$38)/NETWORKDAYS($D46,$E46,Libur!$A$2:$A$38),0)</f>
        <v>0</v>
      </c>
      <c r="AT46" s="53">
        <f>IF(AND($D46&lt;=AT$17,$E46&gt;=AT$16),$C46*NETWORKDAYS(MAX($D46,AT$16),MIN($E46,AT$17),Libur!$A$2:$A$38)/NETWORKDAYS($D46,$E46,Libur!$A$2:$A$38),0)</f>
        <v>0</v>
      </c>
      <c r="AU46" s="53">
        <f>IF(AND($D46&lt;=AU$17,$E46&gt;=AU$16),$C46*NETWORKDAYS(MAX($D46,AU$16),MIN($E46,AU$17),Libur!$A$2:$A$38)/NETWORKDAYS($D46,$E46,Libur!$A$2:$A$38),0)</f>
        <v>0</v>
      </c>
      <c r="AV46" s="53">
        <f>IF(AND($D46&lt;=AV$17,$E46&gt;=AV$16),$C46*NETWORKDAYS(MAX($D46,AV$16),MIN($E46,AV$17),Libur!$A$2:$A$38)/NETWORKDAYS($D46,$E46,Libur!$A$2:$A$38),0)</f>
        <v>0</v>
      </c>
      <c r="AW46" s="53">
        <f>IF(AND($D46&lt;=AW$17,$E46&gt;=AW$16),$C46*NETWORKDAYS(MAX($D46,AW$16),MIN($E46,AW$17),Libur!$A$2:$A$38)/NETWORKDAYS($D46,$E46,Libur!$A$2:$A$38),0)</f>
        <v>0</v>
      </c>
      <c r="AX46" s="53">
        <f>IF(AND($D46&lt;=AX$17,$E46&gt;=AX$16),$C46*NETWORKDAYS(MAX($D46,AX$16),MIN($E46,AX$17),Libur!$A$2:$A$38)/NETWORKDAYS($D46,$E46,Libur!$A$2:$A$38),0)</f>
        <v>0</v>
      </c>
      <c r="AY46" s="53">
        <f>IF(AND($D46&lt;=AY$17,$E46&gt;=AY$16),$C46*NETWORKDAYS(MAX($D46,AY$16),MIN($E46,AY$17),Libur!$A$2:$A$38)/NETWORKDAYS($D46,$E46,Libur!$A$2:$A$38),0)</f>
        <v>0</v>
      </c>
      <c r="AZ46" s="53">
        <f>IF(AND($D46&lt;=AZ$17,$E46&gt;=AZ$16),$C46*NETWORKDAYS(MAX($D46,AZ$16),MIN($E46,AZ$17),Libur!$A$2:$A$38)/NETWORKDAYS($D46,$E46,Libur!$A$2:$A$38),0)</f>
        <v>0</v>
      </c>
      <c r="BA46" s="53">
        <f>IF(AND($D46&lt;=BA$17,$E46&gt;=BA$16),$C46*NETWORKDAYS(MAX($D46,BA$16),MIN($E46,BA$17),Libur!$A$2:$A$38)/NETWORKDAYS($D46,$E46,Libur!$A$2:$A$38),0)</f>
        <v>0</v>
      </c>
      <c r="BB46" s="53">
        <f>IF(AND($D46&lt;=BB$17,$E46&gt;=BB$16),$C46*NETWORKDAYS(MAX($D46,BB$16),MIN($E46,BB$17),Libur!$A$2:$A$38)/NETWORKDAYS($D46,$E46,Libur!$A$2:$A$38),0)</f>
        <v>0</v>
      </c>
      <c r="BC46" s="53">
        <f>IF(AND($D46&lt;=BC$17,$E46&gt;=BC$16),$C46*NETWORKDAYS(MAX($D46,BC$16),MIN($E46,BC$17),Libur!$A$2:$A$38)/NETWORKDAYS($D46,$E46,Libur!$A$2:$A$38),0)</f>
        <v>0</v>
      </c>
      <c r="BD46" s="53">
        <f>IF(AND($D46&lt;=BD$17,$E46&gt;=BD$16),$C46*NETWORKDAYS(MAX($D46,BD$16),MIN($E46,BD$17),Libur!$A$2:$A$38)/NETWORKDAYS($D46,$E46,Libur!$A$2:$A$38),0)</f>
        <v>0</v>
      </c>
      <c r="BE46" s="53">
        <f>IF(AND($D46&lt;=BE$17,$E46&gt;=BE$16),$C46*NETWORKDAYS(MAX($D46,BE$16),MIN($E46,BE$17),Libur!$A$2:$A$38)/NETWORKDAYS($D46,$E46,Libur!$A$2:$A$38),0)</f>
        <v>0</v>
      </c>
      <c r="BF46" s="53">
        <f>IF(AND($D46&lt;=BF$17,$E46&gt;=BF$16),$C46*NETWORKDAYS(MAX($D46,BF$16),MIN($E46,BF$17),Libur!$A$2:$A$38)/NETWORKDAYS($D46,$E46,Libur!$A$2:$A$38),0)</f>
        <v>0</v>
      </c>
      <c r="BG46" s="53">
        <f>IF(AND($D46&lt;=BG$17,$E46&gt;=BG$16),$C46*NETWORKDAYS(MAX($D46,BG$16),MIN($E46,BG$17),Libur!$A$2:$A$38)/NETWORKDAYS($D46,$E46,Libur!$A$2:$A$38),0)</f>
        <v>0</v>
      </c>
      <c r="BH46" s="53">
        <f>IF(AND($D46&lt;=BH$17,$E46&gt;=BH$16),$C46*NETWORKDAYS(MAX($D46,BH$16),MIN($E46,BH$17),Libur!$A$2:$A$38)/NETWORKDAYS($D46,$E46,Libur!$A$2:$A$38),0)</f>
        <v>0</v>
      </c>
      <c r="BI46" s="53">
        <f>IF(AND($D46&lt;=BI$17,$E46&gt;=BI$16),$C46*NETWORKDAYS(MAX($D46,BI$16),MIN($E46,BI$17),Libur!$A$2:$A$38)/NETWORKDAYS($D46,$E46,Libur!$A$2:$A$38),0)</f>
        <v>0</v>
      </c>
      <c r="BJ46" s="53">
        <f>IF(AND($D46&lt;=BJ$17,$E46&gt;=BJ$16),$C46*NETWORKDAYS(MAX($D46,BJ$16),MIN($E46,BJ$17),Libur!$A$2:$A$38)/NETWORKDAYS($D46,$E46,Libur!$A$2:$A$38),0)</f>
        <v>0</v>
      </c>
      <c r="BK46" s="53">
        <f>IF(AND($D46&lt;=BK$17,$E46&gt;=BK$16),$C46*NETWORKDAYS(MAX($D46,BK$16),MIN($E46,BK$17),Libur!$A$2:$A$38)/NETWORKDAYS($D46,$E46,Libur!$A$2:$A$38),0)</f>
        <v>0</v>
      </c>
    </row>
    <row r="47" spans="1:63" x14ac:dyDescent="0.25">
      <c r="A47" s="45"/>
      <c r="B47" s="46" t="s">
        <v>99</v>
      </c>
      <c r="C47" s="48">
        <v>0.02</v>
      </c>
      <c r="D47" s="47">
        <v>46237</v>
      </c>
      <c r="E47" s="47">
        <v>46240</v>
      </c>
      <c r="F47" s="7">
        <f t="shared" si="3"/>
        <v>0.02</v>
      </c>
      <c r="G47" s="48">
        <f t="shared" si="4"/>
        <v>0.02</v>
      </c>
      <c r="H47" s="49">
        <f>NETWORKDAYS(D47,E47,Libur!$A$2:$A$56)</f>
        <v>4</v>
      </c>
      <c r="I47" s="48">
        <f t="shared" si="2"/>
        <v>0</v>
      </c>
      <c r="J47" s="48">
        <f t="shared" si="5"/>
        <v>0</v>
      </c>
      <c r="K47" s="48">
        <v>0</v>
      </c>
      <c r="L47" s="48">
        <f t="shared" si="6"/>
        <v>0</v>
      </c>
      <c r="M47" s="48">
        <f t="shared" si="7"/>
        <v>0</v>
      </c>
      <c r="N47" s="51">
        <f t="shared" si="8"/>
        <v>0.02</v>
      </c>
      <c r="O47" s="52">
        <f t="shared" si="9"/>
        <v>0.02</v>
      </c>
      <c r="P47" s="53">
        <f>IF(AND($D47&lt;=P$17,$E47&gt;=P$16),$C47*NETWORKDAYS(MAX($D47,P$16),MIN($E47,P$17),Libur!$A$2:$A$38)/NETWORKDAYS($D47,$E47,Libur!$A$2:$A$38),0)</f>
        <v>0</v>
      </c>
      <c r="Q47" s="53">
        <f>IF(AND($D47&lt;=Q$17,$E47&gt;=Q$16),$C47*NETWORKDAYS(MAX($D47,Q$16),MIN($E47,Q$17),Libur!$A$2:$A$38)/NETWORKDAYS($D47,$E47,Libur!$A$2:$A$38),0)</f>
        <v>0</v>
      </c>
      <c r="R47" s="53">
        <f>IF(AND($D47&lt;=R$17,$E47&gt;=R$16),$C47*NETWORKDAYS(MAX($D47,R$16),MIN($E47,R$17),Libur!$A$2:$A$38)/NETWORKDAYS($D47,$E47,Libur!$A$2:$A$38),0)</f>
        <v>0</v>
      </c>
      <c r="S47" s="53">
        <f>IF(AND($D47&lt;=S$17,$E47&gt;=S$16),$C47*NETWORKDAYS(MAX($D47,S$16),MIN($E47,S$17),Libur!$A$2:$A$38)/NETWORKDAYS($D47,$E47,Libur!$A$2:$A$38),0)</f>
        <v>0</v>
      </c>
      <c r="T47" s="53">
        <f>IF(AND($D47&lt;=T$17,$E47&gt;=T$16),$C47*NETWORKDAYS(MAX($D47,T$16),MIN($E47,T$17),Libur!$A$2:$A$38)/NETWORKDAYS($D47,$E47,Libur!$A$2:$A$38),0)</f>
        <v>0</v>
      </c>
      <c r="U47" s="53">
        <f>IF(AND($D47&lt;=U$17,$E47&gt;=U$16),$C47*NETWORKDAYS(MAX($D47,U$16),MIN($E47,U$17),Libur!$A$2:$A$38)/NETWORKDAYS($D47,$E47,Libur!$A$2:$A$38),0)</f>
        <v>0</v>
      </c>
      <c r="V47" s="53">
        <f>IF(AND($D47&lt;=V$17,$E47&gt;=V$16),$C47*NETWORKDAYS(MAX($D47,V$16),MIN($E47,V$17),Libur!$A$2:$A$38)/NETWORKDAYS($D47,$E47,Libur!$A$2:$A$38),0)</f>
        <v>0</v>
      </c>
      <c r="W47" s="53">
        <f>IF(AND($D47&lt;=W$17,$E47&gt;=W$16),$C47*NETWORKDAYS(MAX($D47,W$16),MIN($E47,W$17),Libur!$A$2:$A$38)/NETWORKDAYS($D47,$E47,Libur!$A$2:$A$38),0)</f>
        <v>0</v>
      </c>
      <c r="X47" s="53">
        <f>IF(AND($D47&lt;=X$17,$E47&gt;=X$16),$C47*NETWORKDAYS(MAX($D47,X$16),MIN($E47,X$17),Libur!$A$2:$A$38)/NETWORKDAYS($D47,$E47,Libur!$A$2:$A$38),0)</f>
        <v>0</v>
      </c>
      <c r="Y47" s="53">
        <f>IF(AND($D47&lt;=Y$17,$E47&gt;=Y$16),$C47*NETWORKDAYS(MAX($D47,Y$16),MIN($E47,Y$17),Libur!$A$2:$A$38)/NETWORKDAYS($D47,$E47,Libur!$A$2:$A$38),0)</f>
        <v>0</v>
      </c>
      <c r="Z47" s="53">
        <f>IF(AND($D47&lt;=Z$17,$E47&gt;=Z$16),$C47*NETWORKDAYS(MAX($D47,Z$16),MIN($E47,Z$17),Libur!$A$2:$A$38)/NETWORKDAYS($D47,$E47,Libur!$A$2:$A$38),0)</f>
        <v>0</v>
      </c>
      <c r="AA47" s="53">
        <f>IF(AND($D47&lt;=AA$17,$E47&gt;=AA$16),$C47*NETWORKDAYS(MAX($D47,AA$16),MIN($E47,AA$17),Libur!$A$2:$A$38)/NETWORKDAYS($D47,$E47,Libur!$A$2:$A$38),0)</f>
        <v>0</v>
      </c>
      <c r="AB47" s="53">
        <f>IF(AND($D47&lt;=AB$17,$E47&gt;=AB$16),$C47*NETWORKDAYS(MAX($D47,AB$16),MIN($E47,AB$17),Libur!$A$2:$A$38)/NETWORKDAYS($D47,$E47,Libur!$A$2:$A$38),0)</f>
        <v>0</v>
      </c>
      <c r="AC47" s="53">
        <f>IF(AND($D47&lt;=AC$17,$E47&gt;=AC$16),$C47*NETWORKDAYS(MAX($D47,AC$16),MIN($E47,AC$17),Libur!$A$2:$A$38)/NETWORKDAYS($D47,$E47,Libur!$A$2:$A$38),0)</f>
        <v>0.02</v>
      </c>
      <c r="AD47" s="53">
        <f>IF(AND($D47&lt;=AD$17,$E47&gt;=AD$16),$C47*NETWORKDAYS(MAX($D47,AD$16),MIN($E47,AD$17),Libur!$A$2:$A$38)/NETWORKDAYS($D47,$E47,Libur!$A$2:$A$38),0)</f>
        <v>0</v>
      </c>
      <c r="AE47" s="53">
        <f>IF(AND($D47&lt;=AE$17,$E47&gt;=AE$16),$C47*NETWORKDAYS(MAX($D47,AE$16),MIN($E47,AE$17),Libur!$A$2:$A$38)/NETWORKDAYS($D47,$E47,Libur!$A$2:$A$38),0)</f>
        <v>0</v>
      </c>
      <c r="AF47" s="53">
        <f>IF(AND($D47&lt;=AF$17,$E47&gt;=AF$16),$C47*NETWORKDAYS(MAX($D47,AF$16),MIN($E47,AF$17),Libur!$A$2:$A$38)/NETWORKDAYS($D47,$E47,Libur!$A$2:$A$38),0)</f>
        <v>0</v>
      </c>
      <c r="AG47" s="53">
        <f>IF(AND($D47&lt;=AG$17,$E47&gt;=AG$16),$C47*NETWORKDAYS(MAX($D47,AG$16),MIN($E47,AG$17),Libur!$A$2:$A$38)/NETWORKDAYS($D47,$E47,Libur!$A$2:$A$38),0)</f>
        <v>0</v>
      </c>
      <c r="AH47" s="53">
        <f>IF(AND($D47&lt;=AH$17,$E47&gt;=AH$16),$C47*NETWORKDAYS(MAX($D47,AH$16),MIN($E47,AH$17),Libur!$A$2:$A$38)/NETWORKDAYS($D47,$E47,Libur!$A$2:$A$38),0)</f>
        <v>0</v>
      </c>
      <c r="AI47" s="53">
        <f>IF(AND($D47&lt;=AI$17,$E47&gt;=AI$16),$C47*NETWORKDAYS(MAX($D47,AI$16),MIN($E47,AI$17),Libur!$A$2:$A$38)/NETWORKDAYS($D47,$E47,Libur!$A$2:$A$38),0)</f>
        <v>0</v>
      </c>
      <c r="AJ47" s="53">
        <f>IF(AND($D47&lt;=AJ$17,$E47&gt;=AJ$16),$C47*NETWORKDAYS(MAX($D47,AJ$16),MIN($E47,AJ$17),Libur!$A$2:$A$38)/NETWORKDAYS($D47,$E47,Libur!$A$2:$A$38),0)</f>
        <v>0</v>
      </c>
      <c r="AK47" s="53">
        <f>IF(AND($D47&lt;=AK$17,$E47&gt;=AK$16),$C47*NETWORKDAYS(MAX($D47,AK$16),MIN($E47,AK$17),Libur!$A$2:$A$38)/NETWORKDAYS($D47,$E47,Libur!$A$2:$A$38),0)</f>
        <v>0</v>
      </c>
      <c r="AL47" s="53">
        <f>IF(AND($D47&lt;=AL$17,$E47&gt;=AL$16),$C47*NETWORKDAYS(MAX($D47,AL$16),MIN($E47,AL$17),Libur!$A$2:$A$38)/NETWORKDAYS($D47,$E47,Libur!$A$2:$A$38),0)</f>
        <v>0</v>
      </c>
      <c r="AM47" s="53">
        <f>IF(AND($D47&lt;=AM$17,$E47&gt;=AM$16),$C47*NETWORKDAYS(MAX($D47,AM$16),MIN($E47,AM$17),Libur!$A$2:$A$38)/NETWORKDAYS($D47,$E47,Libur!$A$2:$A$38),0)</f>
        <v>0</v>
      </c>
      <c r="AN47" s="53">
        <f>IF(AND($D47&lt;=AN$17,$E47&gt;=AN$16),$C47*NETWORKDAYS(MAX($D47,AN$16),MIN($E47,AN$17),Libur!$A$2:$A$38)/NETWORKDAYS($D47,$E47,Libur!$A$2:$A$38),0)</f>
        <v>0</v>
      </c>
      <c r="AO47" s="53">
        <f>IF(AND($D47&lt;=AO$17,$E47&gt;=AO$16),$C47*NETWORKDAYS(MAX($D47,AO$16),MIN($E47,AO$17),Libur!$A$2:$A$38)/NETWORKDAYS($D47,$E47,Libur!$A$2:$A$38),0)</f>
        <v>0</v>
      </c>
      <c r="AP47" s="53">
        <f>IF(AND($D47&lt;=AP$17,$E47&gt;=AP$16),$C47*NETWORKDAYS(MAX($D47,AP$16),MIN($E47,AP$17),Libur!$A$2:$A$38)/NETWORKDAYS($D47,$E47,Libur!$A$2:$A$38),0)</f>
        <v>0</v>
      </c>
      <c r="AQ47" s="53">
        <f>IF(AND($D47&lt;=AQ$17,$E47&gt;=AQ$16),$C47*NETWORKDAYS(MAX($D47,AQ$16),MIN($E47,AQ$17),Libur!$A$2:$A$38)/NETWORKDAYS($D47,$E47,Libur!$A$2:$A$38),0)</f>
        <v>0</v>
      </c>
      <c r="AR47" s="53">
        <f>IF(AND($D47&lt;=AR$17,$E47&gt;=AR$16),$C47*NETWORKDAYS(MAX($D47,AR$16),MIN($E47,AR$17),Libur!$A$2:$A$38)/NETWORKDAYS($D47,$E47,Libur!$A$2:$A$38),0)</f>
        <v>0</v>
      </c>
      <c r="AS47" s="53">
        <f>IF(AND($D47&lt;=AS$17,$E47&gt;=AS$16),$C47*NETWORKDAYS(MAX($D47,AS$16),MIN($E47,AS$17),Libur!$A$2:$A$38)/NETWORKDAYS($D47,$E47,Libur!$A$2:$A$38),0)</f>
        <v>0</v>
      </c>
      <c r="AT47" s="53">
        <f>IF(AND($D47&lt;=AT$17,$E47&gt;=AT$16),$C47*NETWORKDAYS(MAX($D47,AT$16),MIN($E47,AT$17),Libur!$A$2:$A$38)/NETWORKDAYS($D47,$E47,Libur!$A$2:$A$38),0)</f>
        <v>0</v>
      </c>
      <c r="AU47" s="53">
        <f>IF(AND($D47&lt;=AU$17,$E47&gt;=AU$16),$C47*NETWORKDAYS(MAX($D47,AU$16),MIN($E47,AU$17),Libur!$A$2:$A$38)/NETWORKDAYS($D47,$E47,Libur!$A$2:$A$38),0)</f>
        <v>0</v>
      </c>
      <c r="AV47" s="53">
        <f>IF(AND($D47&lt;=AV$17,$E47&gt;=AV$16),$C47*NETWORKDAYS(MAX($D47,AV$16),MIN($E47,AV$17),Libur!$A$2:$A$38)/NETWORKDAYS($D47,$E47,Libur!$A$2:$A$38),0)</f>
        <v>0</v>
      </c>
      <c r="AW47" s="53">
        <f>IF(AND($D47&lt;=AW$17,$E47&gt;=AW$16),$C47*NETWORKDAYS(MAX($D47,AW$16),MIN($E47,AW$17),Libur!$A$2:$A$38)/NETWORKDAYS($D47,$E47,Libur!$A$2:$A$38),0)</f>
        <v>0</v>
      </c>
      <c r="AX47" s="53">
        <f>IF(AND($D47&lt;=AX$17,$E47&gt;=AX$16),$C47*NETWORKDAYS(MAX($D47,AX$16),MIN($E47,AX$17),Libur!$A$2:$A$38)/NETWORKDAYS($D47,$E47,Libur!$A$2:$A$38),0)</f>
        <v>0</v>
      </c>
      <c r="AY47" s="53">
        <f>IF(AND($D47&lt;=AY$17,$E47&gt;=AY$16),$C47*NETWORKDAYS(MAX($D47,AY$16),MIN($E47,AY$17),Libur!$A$2:$A$38)/NETWORKDAYS($D47,$E47,Libur!$A$2:$A$38),0)</f>
        <v>0</v>
      </c>
      <c r="AZ47" s="53">
        <f>IF(AND($D47&lt;=AZ$17,$E47&gt;=AZ$16),$C47*NETWORKDAYS(MAX($D47,AZ$16),MIN($E47,AZ$17),Libur!$A$2:$A$38)/NETWORKDAYS($D47,$E47,Libur!$A$2:$A$38),0)</f>
        <v>0</v>
      </c>
      <c r="BA47" s="53">
        <f>IF(AND($D47&lt;=BA$17,$E47&gt;=BA$16),$C47*NETWORKDAYS(MAX($D47,BA$16),MIN($E47,BA$17),Libur!$A$2:$A$38)/NETWORKDAYS($D47,$E47,Libur!$A$2:$A$38),0)</f>
        <v>0</v>
      </c>
      <c r="BB47" s="53">
        <f>IF(AND($D47&lt;=BB$17,$E47&gt;=BB$16),$C47*NETWORKDAYS(MAX($D47,BB$16),MIN($E47,BB$17),Libur!$A$2:$A$38)/NETWORKDAYS($D47,$E47,Libur!$A$2:$A$38),0)</f>
        <v>0</v>
      </c>
      <c r="BC47" s="53">
        <f>IF(AND($D47&lt;=BC$17,$E47&gt;=BC$16),$C47*NETWORKDAYS(MAX($D47,BC$16),MIN($E47,BC$17),Libur!$A$2:$A$38)/NETWORKDAYS($D47,$E47,Libur!$A$2:$A$38),0)</f>
        <v>0</v>
      </c>
      <c r="BD47" s="53">
        <f>IF(AND($D47&lt;=BD$17,$E47&gt;=BD$16),$C47*NETWORKDAYS(MAX($D47,BD$16),MIN($E47,BD$17),Libur!$A$2:$A$38)/NETWORKDAYS($D47,$E47,Libur!$A$2:$A$38),0)</f>
        <v>0</v>
      </c>
      <c r="BE47" s="53">
        <f>IF(AND($D47&lt;=BE$17,$E47&gt;=BE$16),$C47*NETWORKDAYS(MAX($D47,BE$16),MIN($E47,BE$17),Libur!$A$2:$A$38)/NETWORKDAYS($D47,$E47,Libur!$A$2:$A$38),0)</f>
        <v>0</v>
      </c>
      <c r="BF47" s="53">
        <f>IF(AND($D47&lt;=BF$17,$E47&gt;=BF$16),$C47*NETWORKDAYS(MAX($D47,BF$16),MIN($E47,BF$17),Libur!$A$2:$A$38)/NETWORKDAYS($D47,$E47,Libur!$A$2:$A$38),0)</f>
        <v>0</v>
      </c>
      <c r="BG47" s="53">
        <f>IF(AND($D47&lt;=BG$17,$E47&gt;=BG$16),$C47*NETWORKDAYS(MAX($D47,BG$16),MIN($E47,BG$17),Libur!$A$2:$A$38)/NETWORKDAYS($D47,$E47,Libur!$A$2:$A$38),0)</f>
        <v>0</v>
      </c>
      <c r="BH47" s="53">
        <f>IF(AND($D47&lt;=BH$17,$E47&gt;=BH$16),$C47*NETWORKDAYS(MAX($D47,BH$16),MIN($E47,BH$17),Libur!$A$2:$A$38)/NETWORKDAYS($D47,$E47,Libur!$A$2:$A$38),0)</f>
        <v>0</v>
      </c>
      <c r="BI47" s="53">
        <f>IF(AND($D47&lt;=BI$17,$E47&gt;=BI$16),$C47*NETWORKDAYS(MAX($D47,BI$16),MIN($E47,BI$17),Libur!$A$2:$A$38)/NETWORKDAYS($D47,$E47,Libur!$A$2:$A$38),0)</f>
        <v>0</v>
      </c>
      <c r="BJ47" s="53">
        <f>IF(AND($D47&lt;=BJ$17,$E47&gt;=BJ$16),$C47*NETWORKDAYS(MAX($D47,BJ$16),MIN($E47,BJ$17),Libur!$A$2:$A$38)/NETWORKDAYS($D47,$E47,Libur!$A$2:$A$38),0)</f>
        <v>0</v>
      </c>
      <c r="BK47" s="53">
        <f>IF(AND($D47&lt;=BK$17,$E47&gt;=BK$16),$C47*NETWORKDAYS(MAX($D47,BK$16),MIN($E47,BK$17),Libur!$A$2:$A$38)/NETWORKDAYS($D47,$E47,Libur!$A$2:$A$38),0)</f>
        <v>0</v>
      </c>
    </row>
    <row r="48" spans="1:63" x14ac:dyDescent="0.25">
      <c r="A48" s="45"/>
      <c r="B48" s="46" t="s">
        <v>93</v>
      </c>
      <c r="C48" s="48">
        <v>0.02</v>
      </c>
      <c r="D48" s="47">
        <v>46241</v>
      </c>
      <c r="E48" s="47">
        <v>46245</v>
      </c>
      <c r="F48" s="7">
        <f t="shared" si="3"/>
        <v>0.02</v>
      </c>
      <c r="G48" s="48">
        <f t="shared" si="4"/>
        <v>0.02</v>
      </c>
      <c r="H48" s="49">
        <f>NETWORKDAYS(D48,E48,Libur!$A$2:$A$56)</f>
        <v>3</v>
      </c>
      <c r="I48" s="48">
        <f t="shared" si="2"/>
        <v>0</v>
      </c>
      <c r="J48" s="48">
        <f t="shared" si="5"/>
        <v>0</v>
      </c>
      <c r="K48" s="48">
        <v>0</v>
      </c>
      <c r="L48" s="48">
        <f t="shared" si="6"/>
        <v>0</v>
      </c>
      <c r="M48" s="48">
        <f t="shared" si="7"/>
        <v>0</v>
      </c>
      <c r="N48" s="51">
        <f t="shared" si="8"/>
        <v>0.02</v>
      </c>
      <c r="O48" s="52">
        <f t="shared" si="9"/>
        <v>0.02</v>
      </c>
      <c r="P48" s="53">
        <f>IF(AND($D48&lt;=P$17,$E48&gt;=P$16),$C48*NETWORKDAYS(MAX($D48,P$16),MIN($E48,P$17),Libur!$A$2:$A$38)/NETWORKDAYS($D48,$E48,Libur!$A$2:$A$38),0)</f>
        <v>0</v>
      </c>
      <c r="Q48" s="53">
        <f>IF(AND($D48&lt;=Q$17,$E48&gt;=Q$16),$C48*NETWORKDAYS(MAX($D48,Q$16),MIN($E48,Q$17),Libur!$A$2:$A$38)/NETWORKDAYS($D48,$E48,Libur!$A$2:$A$38),0)</f>
        <v>0</v>
      </c>
      <c r="R48" s="53">
        <f>IF(AND($D48&lt;=R$17,$E48&gt;=R$16),$C48*NETWORKDAYS(MAX($D48,R$16),MIN($E48,R$17),Libur!$A$2:$A$38)/NETWORKDAYS($D48,$E48,Libur!$A$2:$A$38),0)</f>
        <v>0</v>
      </c>
      <c r="S48" s="53">
        <f>IF(AND($D48&lt;=S$17,$E48&gt;=S$16),$C48*NETWORKDAYS(MAX($D48,S$16),MIN($E48,S$17),Libur!$A$2:$A$38)/NETWORKDAYS($D48,$E48,Libur!$A$2:$A$38),0)</f>
        <v>0</v>
      </c>
      <c r="T48" s="53">
        <f>IF(AND($D48&lt;=T$17,$E48&gt;=T$16),$C48*NETWORKDAYS(MAX($D48,T$16),MIN($E48,T$17),Libur!$A$2:$A$38)/NETWORKDAYS($D48,$E48,Libur!$A$2:$A$38),0)</f>
        <v>0</v>
      </c>
      <c r="U48" s="53">
        <f>IF(AND($D48&lt;=U$17,$E48&gt;=U$16),$C48*NETWORKDAYS(MAX($D48,U$16),MIN($E48,U$17),Libur!$A$2:$A$38)/NETWORKDAYS($D48,$E48,Libur!$A$2:$A$38),0)</f>
        <v>0</v>
      </c>
      <c r="V48" s="53">
        <f>IF(AND($D48&lt;=V$17,$E48&gt;=V$16),$C48*NETWORKDAYS(MAX($D48,V$16),MIN($E48,V$17),Libur!$A$2:$A$38)/NETWORKDAYS($D48,$E48,Libur!$A$2:$A$38),0)</f>
        <v>0</v>
      </c>
      <c r="W48" s="53">
        <f>IF(AND($D48&lt;=W$17,$E48&gt;=W$16),$C48*NETWORKDAYS(MAX($D48,W$16),MIN($E48,W$17),Libur!$A$2:$A$38)/NETWORKDAYS($D48,$E48,Libur!$A$2:$A$38),0)</f>
        <v>0</v>
      </c>
      <c r="X48" s="53">
        <f>IF(AND($D48&lt;=X$17,$E48&gt;=X$16),$C48*NETWORKDAYS(MAX($D48,X$16),MIN($E48,X$17),Libur!$A$2:$A$38)/NETWORKDAYS($D48,$E48,Libur!$A$2:$A$38),0)</f>
        <v>0</v>
      </c>
      <c r="Y48" s="53">
        <f>IF(AND($D48&lt;=Y$17,$E48&gt;=Y$16),$C48*NETWORKDAYS(MAX($D48,Y$16),MIN($E48,Y$17),Libur!$A$2:$A$38)/NETWORKDAYS($D48,$E48,Libur!$A$2:$A$38),0)</f>
        <v>0</v>
      </c>
      <c r="Z48" s="53">
        <f>IF(AND($D48&lt;=Z$17,$E48&gt;=Z$16),$C48*NETWORKDAYS(MAX($D48,Z$16),MIN($E48,Z$17),Libur!$A$2:$A$38)/NETWORKDAYS($D48,$E48,Libur!$A$2:$A$38),0)</f>
        <v>0</v>
      </c>
      <c r="AA48" s="53">
        <f>IF(AND($D48&lt;=AA$17,$E48&gt;=AA$16),$C48*NETWORKDAYS(MAX($D48,AA$16),MIN($E48,AA$17),Libur!$A$2:$A$38)/NETWORKDAYS($D48,$E48,Libur!$A$2:$A$38),0)</f>
        <v>0</v>
      </c>
      <c r="AB48" s="53">
        <f>IF(AND($D48&lt;=AB$17,$E48&gt;=AB$16),$C48*NETWORKDAYS(MAX($D48,AB$16),MIN($E48,AB$17),Libur!$A$2:$A$38)/NETWORKDAYS($D48,$E48,Libur!$A$2:$A$38),0)</f>
        <v>0</v>
      </c>
      <c r="AC48" s="53">
        <f>IF(AND($D48&lt;=AC$17,$E48&gt;=AC$16),$C48*NETWORKDAYS(MAX($D48,AC$16),MIN($E48,AC$17),Libur!$A$2:$A$38)/NETWORKDAYS($D48,$E48,Libur!$A$2:$A$38),0)</f>
        <v>6.6666666666666671E-3</v>
      </c>
      <c r="AD48" s="53">
        <f>IF(AND($D48&lt;=AD$17,$E48&gt;=AD$16),$C48*NETWORKDAYS(MAX($D48,AD$16),MIN($E48,AD$17),Libur!$A$2:$A$38)/NETWORKDAYS($D48,$E48,Libur!$A$2:$A$38),0)</f>
        <v>1.3333333333333334E-2</v>
      </c>
      <c r="AE48" s="53">
        <f>IF(AND($D48&lt;=AE$17,$E48&gt;=AE$16),$C48*NETWORKDAYS(MAX($D48,AE$16),MIN($E48,AE$17),Libur!$A$2:$A$38)/NETWORKDAYS($D48,$E48,Libur!$A$2:$A$38),0)</f>
        <v>0</v>
      </c>
      <c r="AF48" s="53">
        <f>IF(AND($D48&lt;=AF$17,$E48&gt;=AF$16),$C48*NETWORKDAYS(MAX($D48,AF$16),MIN($E48,AF$17),Libur!$A$2:$A$38)/NETWORKDAYS($D48,$E48,Libur!$A$2:$A$38),0)</f>
        <v>0</v>
      </c>
      <c r="AG48" s="53">
        <f>IF(AND($D48&lt;=AG$17,$E48&gt;=AG$16),$C48*NETWORKDAYS(MAX($D48,AG$16),MIN($E48,AG$17),Libur!$A$2:$A$38)/NETWORKDAYS($D48,$E48,Libur!$A$2:$A$38),0)</f>
        <v>0</v>
      </c>
      <c r="AH48" s="53">
        <f>IF(AND($D48&lt;=AH$17,$E48&gt;=AH$16),$C48*NETWORKDAYS(MAX($D48,AH$16),MIN($E48,AH$17),Libur!$A$2:$A$38)/NETWORKDAYS($D48,$E48,Libur!$A$2:$A$38),0)</f>
        <v>0</v>
      </c>
      <c r="AI48" s="53">
        <f>IF(AND($D48&lt;=AI$17,$E48&gt;=AI$16),$C48*NETWORKDAYS(MAX($D48,AI$16),MIN($E48,AI$17),Libur!$A$2:$A$38)/NETWORKDAYS($D48,$E48,Libur!$A$2:$A$38),0)</f>
        <v>0</v>
      </c>
      <c r="AJ48" s="53">
        <f>IF(AND($D48&lt;=AJ$17,$E48&gt;=AJ$16),$C48*NETWORKDAYS(MAX($D48,AJ$16),MIN($E48,AJ$17),Libur!$A$2:$A$38)/NETWORKDAYS($D48,$E48,Libur!$A$2:$A$38),0)</f>
        <v>0</v>
      </c>
      <c r="AK48" s="53">
        <f>IF(AND($D48&lt;=AK$17,$E48&gt;=AK$16),$C48*NETWORKDAYS(MAX($D48,AK$16),MIN($E48,AK$17),Libur!$A$2:$A$38)/NETWORKDAYS($D48,$E48,Libur!$A$2:$A$38),0)</f>
        <v>0</v>
      </c>
      <c r="AL48" s="53">
        <f>IF(AND($D48&lt;=AL$17,$E48&gt;=AL$16),$C48*NETWORKDAYS(MAX($D48,AL$16),MIN($E48,AL$17),Libur!$A$2:$A$38)/NETWORKDAYS($D48,$E48,Libur!$A$2:$A$38),0)</f>
        <v>0</v>
      </c>
      <c r="AM48" s="53">
        <f>IF(AND($D48&lt;=AM$17,$E48&gt;=AM$16),$C48*NETWORKDAYS(MAX($D48,AM$16),MIN($E48,AM$17),Libur!$A$2:$A$38)/NETWORKDAYS($D48,$E48,Libur!$A$2:$A$38),0)</f>
        <v>0</v>
      </c>
      <c r="AN48" s="53">
        <f>IF(AND($D48&lt;=AN$17,$E48&gt;=AN$16),$C48*NETWORKDAYS(MAX($D48,AN$16),MIN($E48,AN$17),Libur!$A$2:$A$38)/NETWORKDAYS($D48,$E48,Libur!$A$2:$A$38),0)</f>
        <v>0</v>
      </c>
      <c r="AO48" s="53">
        <f>IF(AND($D48&lt;=AO$17,$E48&gt;=AO$16),$C48*NETWORKDAYS(MAX($D48,AO$16),MIN($E48,AO$17),Libur!$A$2:$A$38)/NETWORKDAYS($D48,$E48,Libur!$A$2:$A$38),0)</f>
        <v>0</v>
      </c>
      <c r="AP48" s="53">
        <f>IF(AND($D48&lt;=AP$17,$E48&gt;=AP$16),$C48*NETWORKDAYS(MAX($D48,AP$16),MIN($E48,AP$17),Libur!$A$2:$A$38)/NETWORKDAYS($D48,$E48,Libur!$A$2:$A$38),0)</f>
        <v>0</v>
      </c>
      <c r="AQ48" s="53">
        <f>IF(AND($D48&lt;=AQ$17,$E48&gt;=AQ$16),$C48*NETWORKDAYS(MAX($D48,AQ$16),MIN($E48,AQ$17),Libur!$A$2:$A$38)/NETWORKDAYS($D48,$E48,Libur!$A$2:$A$38),0)</f>
        <v>0</v>
      </c>
      <c r="AR48" s="53">
        <f>IF(AND($D48&lt;=AR$17,$E48&gt;=AR$16),$C48*NETWORKDAYS(MAX($D48,AR$16),MIN($E48,AR$17),Libur!$A$2:$A$38)/NETWORKDAYS($D48,$E48,Libur!$A$2:$A$38),0)</f>
        <v>0</v>
      </c>
      <c r="AS48" s="53">
        <f>IF(AND($D48&lt;=AS$17,$E48&gt;=AS$16),$C48*NETWORKDAYS(MAX($D48,AS$16),MIN($E48,AS$17),Libur!$A$2:$A$38)/NETWORKDAYS($D48,$E48,Libur!$A$2:$A$38),0)</f>
        <v>0</v>
      </c>
      <c r="AT48" s="53">
        <f>IF(AND($D48&lt;=AT$17,$E48&gt;=AT$16),$C48*NETWORKDAYS(MAX($D48,AT$16),MIN($E48,AT$17),Libur!$A$2:$A$38)/NETWORKDAYS($D48,$E48,Libur!$A$2:$A$38),0)</f>
        <v>0</v>
      </c>
      <c r="AU48" s="53">
        <f>IF(AND($D48&lt;=AU$17,$E48&gt;=AU$16),$C48*NETWORKDAYS(MAX($D48,AU$16),MIN($E48,AU$17),Libur!$A$2:$A$38)/NETWORKDAYS($D48,$E48,Libur!$A$2:$A$38),0)</f>
        <v>0</v>
      </c>
      <c r="AV48" s="53">
        <f>IF(AND($D48&lt;=AV$17,$E48&gt;=AV$16),$C48*NETWORKDAYS(MAX($D48,AV$16),MIN($E48,AV$17),Libur!$A$2:$A$38)/NETWORKDAYS($D48,$E48,Libur!$A$2:$A$38),0)</f>
        <v>0</v>
      </c>
      <c r="AW48" s="53">
        <f>IF(AND($D48&lt;=AW$17,$E48&gt;=AW$16),$C48*NETWORKDAYS(MAX($D48,AW$16),MIN($E48,AW$17),Libur!$A$2:$A$38)/NETWORKDAYS($D48,$E48,Libur!$A$2:$A$38),0)</f>
        <v>0</v>
      </c>
      <c r="AX48" s="53">
        <f>IF(AND($D48&lt;=AX$17,$E48&gt;=AX$16),$C48*NETWORKDAYS(MAX($D48,AX$16),MIN($E48,AX$17),Libur!$A$2:$A$38)/NETWORKDAYS($D48,$E48,Libur!$A$2:$A$38),0)</f>
        <v>0</v>
      </c>
      <c r="AY48" s="53">
        <f>IF(AND($D48&lt;=AY$17,$E48&gt;=AY$16),$C48*NETWORKDAYS(MAX($D48,AY$16),MIN($E48,AY$17),Libur!$A$2:$A$38)/NETWORKDAYS($D48,$E48,Libur!$A$2:$A$38),0)</f>
        <v>0</v>
      </c>
      <c r="AZ48" s="53">
        <f>IF(AND($D48&lt;=AZ$17,$E48&gt;=AZ$16),$C48*NETWORKDAYS(MAX($D48,AZ$16),MIN($E48,AZ$17),Libur!$A$2:$A$38)/NETWORKDAYS($D48,$E48,Libur!$A$2:$A$38),0)</f>
        <v>0</v>
      </c>
      <c r="BA48" s="53">
        <f>IF(AND($D48&lt;=BA$17,$E48&gt;=BA$16),$C48*NETWORKDAYS(MAX($D48,BA$16),MIN($E48,BA$17),Libur!$A$2:$A$38)/NETWORKDAYS($D48,$E48,Libur!$A$2:$A$38),0)</f>
        <v>0</v>
      </c>
      <c r="BB48" s="53">
        <f>IF(AND($D48&lt;=BB$17,$E48&gt;=BB$16),$C48*NETWORKDAYS(MAX($D48,BB$16),MIN($E48,BB$17),Libur!$A$2:$A$38)/NETWORKDAYS($D48,$E48,Libur!$A$2:$A$38),0)</f>
        <v>0</v>
      </c>
      <c r="BC48" s="53">
        <f>IF(AND($D48&lt;=BC$17,$E48&gt;=BC$16),$C48*NETWORKDAYS(MAX($D48,BC$16),MIN($E48,BC$17),Libur!$A$2:$A$38)/NETWORKDAYS($D48,$E48,Libur!$A$2:$A$38),0)</f>
        <v>0</v>
      </c>
      <c r="BD48" s="53">
        <f>IF(AND($D48&lt;=BD$17,$E48&gt;=BD$16),$C48*NETWORKDAYS(MAX($D48,BD$16),MIN($E48,BD$17),Libur!$A$2:$A$38)/NETWORKDAYS($D48,$E48,Libur!$A$2:$A$38),0)</f>
        <v>0</v>
      </c>
      <c r="BE48" s="53">
        <f>IF(AND($D48&lt;=BE$17,$E48&gt;=BE$16),$C48*NETWORKDAYS(MAX($D48,BE$16),MIN($E48,BE$17),Libur!$A$2:$A$38)/NETWORKDAYS($D48,$E48,Libur!$A$2:$A$38),0)</f>
        <v>0</v>
      </c>
      <c r="BF48" s="53">
        <f>IF(AND($D48&lt;=BF$17,$E48&gt;=BF$16),$C48*NETWORKDAYS(MAX($D48,BF$16),MIN($E48,BF$17),Libur!$A$2:$A$38)/NETWORKDAYS($D48,$E48,Libur!$A$2:$A$38),0)</f>
        <v>0</v>
      </c>
      <c r="BG48" s="53">
        <f>IF(AND($D48&lt;=BG$17,$E48&gt;=BG$16),$C48*NETWORKDAYS(MAX($D48,BG$16),MIN($E48,BG$17),Libur!$A$2:$A$38)/NETWORKDAYS($D48,$E48,Libur!$A$2:$A$38),0)</f>
        <v>0</v>
      </c>
      <c r="BH48" s="53">
        <f>IF(AND($D48&lt;=BH$17,$E48&gt;=BH$16),$C48*NETWORKDAYS(MAX($D48,BH$16),MIN($E48,BH$17),Libur!$A$2:$A$38)/NETWORKDAYS($D48,$E48,Libur!$A$2:$A$38),0)</f>
        <v>0</v>
      </c>
      <c r="BI48" s="53">
        <f>IF(AND($D48&lt;=BI$17,$E48&gt;=BI$16),$C48*NETWORKDAYS(MAX($D48,BI$16),MIN($E48,BI$17),Libur!$A$2:$A$38)/NETWORKDAYS($D48,$E48,Libur!$A$2:$A$38),0)</f>
        <v>0</v>
      </c>
      <c r="BJ48" s="53">
        <f>IF(AND($D48&lt;=BJ$17,$E48&gt;=BJ$16),$C48*NETWORKDAYS(MAX($D48,BJ$16),MIN($E48,BJ$17),Libur!$A$2:$A$38)/NETWORKDAYS($D48,$E48,Libur!$A$2:$A$38),0)</f>
        <v>0</v>
      </c>
      <c r="BK48" s="53">
        <f>IF(AND($D48&lt;=BK$17,$E48&gt;=BK$16),$C48*NETWORKDAYS(MAX($D48,BK$16),MIN($E48,BK$17),Libur!$A$2:$A$38)/NETWORKDAYS($D48,$E48,Libur!$A$2:$A$38),0)</f>
        <v>0</v>
      </c>
    </row>
    <row r="49" spans="1:63" x14ac:dyDescent="0.25">
      <c r="A49" s="45"/>
      <c r="B49" s="46" t="s">
        <v>100</v>
      </c>
      <c r="C49" s="48">
        <v>0.01</v>
      </c>
      <c r="D49" s="47">
        <v>46245</v>
      </c>
      <c r="E49" s="47">
        <v>46245</v>
      </c>
      <c r="F49" s="7">
        <f t="shared" si="3"/>
        <v>0.01</v>
      </c>
      <c r="G49" s="48">
        <f t="shared" si="4"/>
        <v>0.01</v>
      </c>
      <c r="H49" s="49">
        <f>NETWORKDAYS(D49,E49,Libur!$A$2:$A$56)</f>
        <v>1</v>
      </c>
      <c r="I49" s="48">
        <f t="shared" si="2"/>
        <v>0</v>
      </c>
      <c r="J49" s="48">
        <f t="shared" si="5"/>
        <v>0</v>
      </c>
      <c r="K49" s="48">
        <v>0</v>
      </c>
      <c r="L49" s="48">
        <f t="shared" si="6"/>
        <v>0</v>
      </c>
      <c r="M49" s="48">
        <f t="shared" si="7"/>
        <v>0</v>
      </c>
      <c r="N49" s="51">
        <f t="shared" si="8"/>
        <v>0.01</v>
      </c>
      <c r="O49" s="52">
        <f t="shared" si="9"/>
        <v>0.01</v>
      </c>
      <c r="P49" s="53">
        <f>IF(AND($D49&lt;=P$17,$E49&gt;=P$16),$C49*NETWORKDAYS(MAX($D49,P$16),MIN($E49,P$17),Libur!$A$2:$A$38)/NETWORKDAYS($D49,$E49,Libur!$A$2:$A$38),0)</f>
        <v>0</v>
      </c>
      <c r="Q49" s="53">
        <f>IF(AND($D49&lt;=Q$17,$E49&gt;=Q$16),$C49*NETWORKDAYS(MAX($D49,Q$16),MIN($E49,Q$17),Libur!$A$2:$A$38)/NETWORKDAYS($D49,$E49,Libur!$A$2:$A$38),0)</f>
        <v>0</v>
      </c>
      <c r="R49" s="53">
        <f>IF(AND($D49&lt;=R$17,$E49&gt;=R$16),$C49*NETWORKDAYS(MAX($D49,R$16),MIN($E49,R$17),Libur!$A$2:$A$38)/NETWORKDAYS($D49,$E49,Libur!$A$2:$A$38),0)</f>
        <v>0</v>
      </c>
      <c r="S49" s="53">
        <f>IF(AND($D49&lt;=S$17,$E49&gt;=S$16),$C49*NETWORKDAYS(MAX($D49,S$16),MIN($E49,S$17),Libur!$A$2:$A$38)/NETWORKDAYS($D49,$E49,Libur!$A$2:$A$38),0)</f>
        <v>0</v>
      </c>
      <c r="T49" s="53">
        <f>IF(AND($D49&lt;=T$17,$E49&gt;=T$16),$C49*NETWORKDAYS(MAX($D49,T$16),MIN($E49,T$17),Libur!$A$2:$A$38)/NETWORKDAYS($D49,$E49,Libur!$A$2:$A$38),0)</f>
        <v>0</v>
      </c>
      <c r="U49" s="53">
        <f>IF(AND($D49&lt;=U$17,$E49&gt;=U$16),$C49*NETWORKDAYS(MAX($D49,U$16),MIN($E49,U$17),Libur!$A$2:$A$38)/NETWORKDAYS($D49,$E49,Libur!$A$2:$A$38),0)</f>
        <v>0</v>
      </c>
      <c r="V49" s="53">
        <f>IF(AND($D49&lt;=V$17,$E49&gt;=V$16),$C49*NETWORKDAYS(MAX($D49,V$16),MIN($E49,V$17),Libur!$A$2:$A$38)/NETWORKDAYS($D49,$E49,Libur!$A$2:$A$38),0)</f>
        <v>0</v>
      </c>
      <c r="W49" s="53">
        <f>IF(AND($D49&lt;=W$17,$E49&gt;=W$16),$C49*NETWORKDAYS(MAX($D49,W$16),MIN($E49,W$17),Libur!$A$2:$A$38)/NETWORKDAYS($D49,$E49,Libur!$A$2:$A$38),0)</f>
        <v>0</v>
      </c>
      <c r="X49" s="53">
        <f>IF(AND($D49&lt;=X$17,$E49&gt;=X$16),$C49*NETWORKDAYS(MAX($D49,X$16),MIN($E49,X$17),Libur!$A$2:$A$38)/NETWORKDAYS($D49,$E49,Libur!$A$2:$A$38),0)</f>
        <v>0</v>
      </c>
      <c r="Y49" s="53">
        <f>IF(AND($D49&lt;=Y$17,$E49&gt;=Y$16),$C49*NETWORKDAYS(MAX($D49,Y$16),MIN($E49,Y$17),Libur!$A$2:$A$38)/NETWORKDAYS($D49,$E49,Libur!$A$2:$A$38),0)</f>
        <v>0</v>
      </c>
      <c r="Z49" s="53">
        <f>IF(AND($D49&lt;=Z$17,$E49&gt;=Z$16),$C49*NETWORKDAYS(MAX($D49,Z$16),MIN($E49,Z$17),Libur!$A$2:$A$38)/NETWORKDAYS($D49,$E49,Libur!$A$2:$A$38),0)</f>
        <v>0</v>
      </c>
      <c r="AA49" s="53">
        <f>IF(AND($D49&lt;=AA$17,$E49&gt;=AA$16),$C49*NETWORKDAYS(MAX($D49,AA$16),MIN($E49,AA$17),Libur!$A$2:$A$38)/NETWORKDAYS($D49,$E49,Libur!$A$2:$A$38),0)</f>
        <v>0</v>
      </c>
      <c r="AB49" s="53">
        <f>IF(AND($D49&lt;=AB$17,$E49&gt;=AB$16),$C49*NETWORKDAYS(MAX($D49,AB$16),MIN($E49,AB$17),Libur!$A$2:$A$38)/NETWORKDAYS($D49,$E49,Libur!$A$2:$A$38),0)</f>
        <v>0</v>
      </c>
      <c r="AC49" s="53">
        <f>IF(AND($D49&lt;=AC$17,$E49&gt;=AC$16),$C49*NETWORKDAYS(MAX($D49,AC$16),MIN($E49,AC$17),Libur!$A$2:$A$38)/NETWORKDAYS($D49,$E49,Libur!$A$2:$A$38),0)</f>
        <v>0</v>
      </c>
      <c r="AD49" s="53">
        <f>IF(AND($D49&lt;=AD$17,$E49&gt;=AD$16),$C49*NETWORKDAYS(MAX($D49,AD$16),MIN($E49,AD$17),Libur!$A$2:$A$38)/NETWORKDAYS($D49,$E49,Libur!$A$2:$A$38),0)</f>
        <v>0.01</v>
      </c>
      <c r="AE49" s="53">
        <f>IF(AND($D49&lt;=AE$17,$E49&gt;=AE$16),$C49*NETWORKDAYS(MAX($D49,AE$16),MIN($E49,AE$17),Libur!$A$2:$A$38)/NETWORKDAYS($D49,$E49,Libur!$A$2:$A$38),0)</f>
        <v>0</v>
      </c>
      <c r="AF49" s="53">
        <f>IF(AND($D49&lt;=AF$17,$E49&gt;=AF$16),$C49*NETWORKDAYS(MAX($D49,AF$16),MIN($E49,AF$17),Libur!$A$2:$A$38)/NETWORKDAYS($D49,$E49,Libur!$A$2:$A$38),0)</f>
        <v>0</v>
      </c>
      <c r="AG49" s="53">
        <f>IF(AND($D49&lt;=AG$17,$E49&gt;=AG$16),$C49*NETWORKDAYS(MAX($D49,AG$16),MIN($E49,AG$17),Libur!$A$2:$A$38)/NETWORKDAYS($D49,$E49,Libur!$A$2:$A$38),0)</f>
        <v>0</v>
      </c>
      <c r="AH49" s="53">
        <f>IF(AND($D49&lt;=AH$17,$E49&gt;=AH$16),$C49*NETWORKDAYS(MAX($D49,AH$16),MIN($E49,AH$17),Libur!$A$2:$A$38)/NETWORKDAYS($D49,$E49,Libur!$A$2:$A$38),0)</f>
        <v>0</v>
      </c>
      <c r="AI49" s="53">
        <f>IF(AND($D49&lt;=AI$17,$E49&gt;=AI$16),$C49*NETWORKDAYS(MAX($D49,AI$16),MIN($E49,AI$17),Libur!$A$2:$A$38)/NETWORKDAYS($D49,$E49,Libur!$A$2:$A$38),0)</f>
        <v>0</v>
      </c>
      <c r="AJ49" s="53">
        <f>IF(AND($D49&lt;=AJ$17,$E49&gt;=AJ$16),$C49*NETWORKDAYS(MAX($D49,AJ$16),MIN($E49,AJ$17),Libur!$A$2:$A$38)/NETWORKDAYS($D49,$E49,Libur!$A$2:$A$38),0)</f>
        <v>0</v>
      </c>
      <c r="AK49" s="53">
        <f>IF(AND($D49&lt;=AK$17,$E49&gt;=AK$16),$C49*NETWORKDAYS(MAX($D49,AK$16),MIN($E49,AK$17),Libur!$A$2:$A$38)/NETWORKDAYS($D49,$E49,Libur!$A$2:$A$38),0)</f>
        <v>0</v>
      </c>
      <c r="AL49" s="53">
        <f>IF(AND($D49&lt;=AL$17,$E49&gt;=AL$16),$C49*NETWORKDAYS(MAX($D49,AL$16),MIN($E49,AL$17),Libur!$A$2:$A$38)/NETWORKDAYS($D49,$E49,Libur!$A$2:$A$38),0)</f>
        <v>0</v>
      </c>
      <c r="AM49" s="53">
        <f>IF(AND($D49&lt;=AM$17,$E49&gt;=AM$16),$C49*NETWORKDAYS(MAX($D49,AM$16),MIN($E49,AM$17),Libur!$A$2:$A$38)/NETWORKDAYS($D49,$E49,Libur!$A$2:$A$38),0)</f>
        <v>0</v>
      </c>
      <c r="AN49" s="53">
        <f>IF(AND($D49&lt;=AN$17,$E49&gt;=AN$16),$C49*NETWORKDAYS(MAX($D49,AN$16),MIN($E49,AN$17),Libur!$A$2:$A$38)/NETWORKDAYS($D49,$E49,Libur!$A$2:$A$38),0)</f>
        <v>0</v>
      </c>
      <c r="AO49" s="53">
        <f>IF(AND($D49&lt;=AO$17,$E49&gt;=AO$16),$C49*NETWORKDAYS(MAX($D49,AO$16),MIN($E49,AO$17),Libur!$A$2:$A$38)/NETWORKDAYS($D49,$E49,Libur!$A$2:$A$38),0)</f>
        <v>0</v>
      </c>
      <c r="AP49" s="53">
        <f>IF(AND($D49&lt;=AP$17,$E49&gt;=AP$16),$C49*NETWORKDAYS(MAX($D49,AP$16),MIN($E49,AP$17),Libur!$A$2:$A$38)/NETWORKDAYS($D49,$E49,Libur!$A$2:$A$38),0)</f>
        <v>0</v>
      </c>
      <c r="AQ49" s="53">
        <f>IF(AND($D49&lt;=AQ$17,$E49&gt;=AQ$16),$C49*NETWORKDAYS(MAX($D49,AQ$16),MIN($E49,AQ$17),Libur!$A$2:$A$38)/NETWORKDAYS($D49,$E49,Libur!$A$2:$A$38),0)</f>
        <v>0</v>
      </c>
      <c r="AR49" s="53">
        <f>IF(AND($D49&lt;=AR$17,$E49&gt;=AR$16),$C49*NETWORKDAYS(MAX($D49,AR$16),MIN($E49,AR$17),Libur!$A$2:$A$38)/NETWORKDAYS($D49,$E49,Libur!$A$2:$A$38),0)</f>
        <v>0</v>
      </c>
      <c r="AS49" s="53">
        <f>IF(AND($D49&lt;=AS$17,$E49&gt;=AS$16),$C49*NETWORKDAYS(MAX($D49,AS$16),MIN($E49,AS$17),Libur!$A$2:$A$38)/NETWORKDAYS($D49,$E49,Libur!$A$2:$A$38),0)</f>
        <v>0</v>
      </c>
      <c r="AT49" s="53">
        <f>IF(AND($D49&lt;=AT$17,$E49&gt;=AT$16),$C49*NETWORKDAYS(MAX($D49,AT$16),MIN($E49,AT$17),Libur!$A$2:$A$38)/NETWORKDAYS($D49,$E49,Libur!$A$2:$A$38),0)</f>
        <v>0</v>
      </c>
      <c r="AU49" s="53">
        <f>IF(AND($D49&lt;=AU$17,$E49&gt;=AU$16),$C49*NETWORKDAYS(MAX($D49,AU$16),MIN($E49,AU$17),Libur!$A$2:$A$38)/NETWORKDAYS($D49,$E49,Libur!$A$2:$A$38),0)</f>
        <v>0</v>
      </c>
      <c r="AV49" s="53">
        <f>IF(AND($D49&lt;=AV$17,$E49&gt;=AV$16),$C49*NETWORKDAYS(MAX($D49,AV$16),MIN($E49,AV$17),Libur!$A$2:$A$38)/NETWORKDAYS($D49,$E49,Libur!$A$2:$A$38),0)</f>
        <v>0</v>
      </c>
      <c r="AW49" s="53">
        <f>IF(AND($D49&lt;=AW$17,$E49&gt;=AW$16),$C49*NETWORKDAYS(MAX($D49,AW$16),MIN($E49,AW$17),Libur!$A$2:$A$38)/NETWORKDAYS($D49,$E49,Libur!$A$2:$A$38),0)</f>
        <v>0</v>
      </c>
      <c r="AX49" s="53">
        <f>IF(AND($D49&lt;=AX$17,$E49&gt;=AX$16),$C49*NETWORKDAYS(MAX($D49,AX$16),MIN($E49,AX$17),Libur!$A$2:$A$38)/NETWORKDAYS($D49,$E49,Libur!$A$2:$A$38),0)</f>
        <v>0</v>
      </c>
      <c r="AY49" s="53">
        <f>IF(AND($D49&lt;=AY$17,$E49&gt;=AY$16),$C49*NETWORKDAYS(MAX($D49,AY$16),MIN($E49,AY$17),Libur!$A$2:$A$38)/NETWORKDAYS($D49,$E49,Libur!$A$2:$A$38),0)</f>
        <v>0</v>
      </c>
      <c r="AZ49" s="53">
        <f>IF(AND($D49&lt;=AZ$17,$E49&gt;=AZ$16),$C49*NETWORKDAYS(MAX($D49,AZ$16),MIN($E49,AZ$17),Libur!$A$2:$A$38)/NETWORKDAYS($D49,$E49,Libur!$A$2:$A$38),0)</f>
        <v>0</v>
      </c>
      <c r="BA49" s="53">
        <f>IF(AND($D49&lt;=BA$17,$E49&gt;=BA$16),$C49*NETWORKDAYS(MAX($D49,BA$16),MIN($E49,BA$17),Libur!$A$2:$A$38)/NETWORKDAYS($D49,$E49,Libur!$A$2:$A$38),0)</f>
        <v>0</v>
      </c>
      <c r="BB49" s="53">
        <f>IF(AND($D49&lt;=BB$17,$E49&gt;=BB$16),$C49*NETWORKDAYS(MAX($D49,BB$16),MIN($E49,BB$17),Libur!$A$2:$A$38)/NETWORKDAYS($D49,$E49,Libur!$A$2:$A$38),0)</f>
        <v>0</v>
      </c>
      <c r="BC49" s="53">
        <f>IF(AND($D49&lt;=BC$17,$E49&gt;=BC$16),$C49*NETWORKDAYS(MAX($D49,BC$16),MIN($E49,BC$17),Libur!$A$2:$A$38)/NETWORKDAYS($D49,$E49,Libur!$A$2:$A$38),0)</f>
        <v>0</v>
      </c>
      <c r="BD49" s="53">
        <f>IF(AND($D49&lt;=BD$17,$E49&gt;=BD$16),$C49*NETWORKDAYS(MAX($D49,BD$16),MIN($E49,BD$17),Libur!$A$2:$A$38)/NETWORKDAYS($D49,$E49,Libur!$A$2:$A$38),0)</f>
        <v>0</v>
      </c>
      <c r="BE49" s="53">
        <f>IF(AND($D49&lt;=BE$17,$E49&gt;=BE$16),$C49*NETWORKDAYS(MAX($D49,BE$16),MIN($E49,BE$17),Libur!$A$2:$A$38)/NETWORKDAYS($D49,$E49,Libur!$A$2:$A$38),0)</f>
        <v>0</v>
      </c>
      <c r="BF49" s="53">
        <f>IF(AND($D49&lt;=BF$17,$E49&gt;=BF$16),$C49*NETWORKDAYS(MAX($D49,BF$16),MIN($E49,BF$17),Libur!$A$2:$A$38)/NETWORKDAYS($D49,$E49,Libur!$A$2:$A$38),0)</f>
        <v>0</v>
      </c>
      <c r="BG49" s="53">
        <f>IF(AND($D49&lt;=BG$17,$E49&gt;=BG$16),$C49*NETWORKDAYS(MAX($D49,BG$16),MIN($E49,BG$17),Libur!$A$2:$A$38)/NETWORKDAYS($D49,$E49,Libur!$A$2:$A$38),0)</f>
        <v>0</v>
      </c>
      <c r="BH49" s="53">
        <f>IF(AND($D49&lt;=BH$17,$E49&gt;=BH$16),$C49*NETWORKDAYS(MAX($D49,BH$16),MIN($E49,BH$17),Libur!$A$2:$A$38)/NETWORKDAYS($D49,$E49,Libur!$A$2:$A$38),0)</f>
        <v>0</v>
      </c>
      <c r="BI49" s="53">
        <f>IF(AND($D49&lt;=BI$17,$E49&gt;=BI$16),$C49*NETWORKDAYS(MAX($D49,BI$16),MIN($E49,BI$17),Libur!$A$2:$A$38)/NETWORKDAYS($D49,$E49,Libur!$A$2:$A$38),0)</f>
        <v>0</v>
      </c>
      <c r="BJ49" s="53">
        <f>IF(AND($D49&lt;=BJ$17,$E49&gt;=BJ$16),$C49*NETWORKDAYS(MAX($D49,BJ$16),MIN($E49,BJ$17),Libur!$A$2:$A$38)/NETWORKDAYS($D49,$E49,Libur!$A$2:$A$38),0)</f>
        <v>0</v>
      </c>
      <c r="BK49" s="53">
        <f>IF(AND($D49&lt;=BK$17,$E49&gt;=BK$16),$C49*NETWORKDAYS(MAX($D49,BK$16),MIN($E49,BK$17),Libur!$A$2:$A$38)/NETWORKDAYS($D49,$E49,Libur!$A$2:$A$38),0)</f>
        <v>0</v>
      </c>
    </row>
    <row r="50" spans="1:63" x14ac:dyDescent="0.25">
      <c r="A50" s="45"/>
      <c r="B50" s="46"/>
      <c r="C50" s="48"/>
      <c r="D50" s="47"/>
      <c r="E50" s="47"/>
      <c r="F50" s="7"/>
      <c r="G50" s="48"/>
      <c r="H50" s="49"/>
      <c r="I50" s="48"/>
      <c r="J50" s="48"/>
      <c r="K50" s="48"/>
      <c r="L50" s="48"/>
      <c r="M50" s="48"/>
      <c r="N50" s="51"/>
      <c r="O50" s="52"/>
      <c r="P50" s="53">
        <f>IF(AND($D50&lt;=P$17,$E50&gt;=P$16),$C50*NETWORKDAYS(MAX($D50,P$16),MIN($E50,P$17),Libur!$A$2:$A$38)/NETWORKDAYS($D50,$E50,Libur!$A$2:$A$38),0)</f>
        <v>0</v>
      </c>
      <c r="Q50" s="53">
        <f>IF(AND($D50&lt;=Q$17,$E50&gt;=Q$16),$C50*NETWORKDAYS(MAX($D50,Q$16),MIN($E50,Q$17),Libur!$A$2:$A$38)/NETWORKDAYS($D50,$E50,Libur!$A$2:$A$38),0)</f>
        <v>0</v>
      </c>
      <c r="R50" s="53">
        <f>IF(AND($D50&lt;=R$17,$E50&gt;=R$16),$C50*NETWORKDAYS(MAX($D50,R$16),MIN($E50,R$17),Libur!$A$2:$A$38)/NETWORKDAYS($D50,$E50,Libur!$A$2:$A$38),0)</f>
        <v>0</v>
      </c>
      <c r="S50" s="53">
        <f>IF(AND($D50&lt;=S$17,$E50&gt;=S$16),$C50*NETWORKDAYS(MAX($D50,S$16),MIN($E50,S$17),Libur!$A$2:$A$38)/NETWORKDAYS($D50,$E50,Libur!$A$2:$A$38),0)</f>
        <v>0</v>
      </c>
      <c r="T50" s="53">
        <f>IF(AND($D50&lt;=T$17,$E50&gt;=T$16),$C50*NETWORKDAYS(MAX($D50,T$16),MIN($E50,T$17),Libur!$A$2:$A$38)/NETWORKDAYS($D50,$E50,Libur!$A$2:$A$38),0)</f>
        <v>0</v>
      </c>
      <c r="U50" s="53">
        <f>IF(AND($D50&lt;=U$17,$E50&gt;=U$16),$C50*NETWORKDAYS(MAX($D50,U$16),MIN($E50,U$17),Libur!$A$2:$A$38)/NETWORKDAYS($D50,$E50,Libur!$A$2:$A$38),0)</f>
        <v>0</v>
      </c>
      <c r="V50" s="53">
        <f>IF(AND($D50&lt;=V$17,$E50&gt;=V$16),$C50*NETWORKDAYS(MAX($D50,V$16),MIN($E50,V$17),Libur!$A$2:$A$38)/NETWORKDAYS($D50,$E50,Libur!$A$2:$A$38),0)</f>
        <v>0</v>
      </c>
      <c r="W50" s="53">
        <f>IF(AND($D50&lt;=W$17,$E50&gt;=W$16),$C50*NETWORKDAYS(MAX($D50,W$16),MIN($E50,W$17),Libur!$A$2:$A$38)/NETWORKDAYS($D50,$E50,Libur!$A$2:$A$38),0)</f>
        <v>0</v>
      </c>
      <c r="X50" s="53">
        <f>IF(AND($D50&lt;=X$17,$E50&gt;=X$16),$C50*NETWORKDAYS(MAX($D50,X$16),MIN($E50,X$17),Libur!$A$2:$A$38)/NETWORKDAYS($D50,$E50,Libur!$A$2:$A$38),0)</f>
        <v>0</v>
      </c>
      <c r="Y50" s="53">
        <f>IF(AND($D50&lt;=Y$17,$E50&gt;=Y$16),$C50*NETWORKDAYS(MAX($D50,Y$16),MIN($E50,Y$17),Libur!$A$2:$A$38)/NETWORKDAYS($D50,$E50,Libur!$A$2:$A$38),0)</f>
        <v>0</v>
      </c>
      <c r="Z50" s="53">
        <f>IF(AND($D50&lt;=Z$17,$E50&gt;=Z$16),$C50*NETWORKDAYS(MAX($D50,Z$16),MIN($E50,Z$17),Libur!$A$2:$A$38)/NETWORKDAYS($D50,$E50,Libur!$A$2:$A$38),0)</f>
        <v>0</v>
      </c>
      <c r="AA50" s="53">
        <f>IF(AND($D50&lt;=AA$17,$E50&gt;=AA$16),$C50*NETWORKDAYS(MAX($D50,AA$16),MIN($E50,AA$17),Libur!$A$2:$A$38)/NETWORKDAYS($D50,$E50,Libur!$A$2:$A$38),0)</f>
        <v>0</v>
      </c>
      <c r="AB50" s="53">
        <f>IF(AND($D50&lt;=AB$17,$E50&gt;=AB$16),$C50*NETWORKDAYS(MAX($D50,AB$16),MIN($E50,AB$17),Libur!$A$2:$A$38)/NETWORKDAYS($D50,$E50,Libur!$A$2:$A$38),0)</f>
        <v>0</v>
      </c>
      <c r="AC50" s="53">
        <f>IF(AND($D50&lt;=AC$17,$E50&gt;=AC$16),$C50*NETWORKDAYS(MAX($D50,AC$16),MIN($E50,AC$17),Libur!$A$2:$A$38)/NETWORKDAYS($D50,$E50,Libur!$A$2:$A$38),0)</f>
        <v>0</v>
      </c>
      <c r="AD50" s="53">
        <f>IF(AND($D50&lt;=AD$17,$E50&gt;=AD$16),$C50*NETWORKDAYS(MAX($D50,AD$16),MIN($E50,AD$17),Libur!$A$2:$A$38)/NETWORKDAYS($D50,$E50,Libur!$A$2:$A$38),0)</f>
        <v>0</v>
      </c>
      <c r="AE50" s="53">
        <f>IF(AND($D50&lt;=AE$17,$E50&gt;=AE$16),$C50*NETWORKDAYS(MAX($D50,AE$16),MIN($E50,AE$17),Libur!$A$2:$A$38)/NETWORKDAYS($D50,$E50,Libur!$A$2:$A$38),0)</f>
        <v>0</v>
      </c>
      <c r="AF50" s="53">
        <f>IF(AND($D50&lt;=AF$17,$E50&gt;=AF$16),$C50*NETWORKDAYS(MAX($D50,AF$16),MIN($E50,AF$17),Libur!$A$2:$A$38)/NETWORKDAYS($D50,$E50,Libur!$A$2:$A$38),0)</f>
        <v>0</v>
      </c>
      <c r="AG50" s="53">
        <f>IF(AND($D50&lt;=AG$17,$E50&gt;=AG$16),$C50*NETWORKDAYS(MAX($D50,AG$16),MIN($E50,AG$17),Libur!$A$2:$A$38)/NETWORKDAYS($D50,$E50,Libur!$A$2:$A$38),0)</f>
        <v>0</v>
      </c>
      <c r="AH50" s="53">
        <f>IF(AND($D50&lt;=AH$17,$E50&gt;=AH$16),$C50*NETWORKDAYS(MAX($D50,AH$16),MIN($E50,AH$17),Libur!$A$2:$A$38)/NETWORKDAYS($D50,$E50,Libur!$A$2:$A$38),0)</f>
        <v>0</v>
      </c>
      <c r="AI50" s="53">
        <f>IF(AND($D50&lt;=AI$17,$E50&gt;=AI$16),$C50*NETWORKDAYS(MAX($D50,AI$16),MIN($E50,AI$17),Libur!$A$2:$A$38)/NETWORKDAYS($D50,$E50,Libur!$A$2:$A$38),0)</f>
        <v>0</v>
      </c>
      <c r="AJ50" s="53">
        <f>IF(AND($D50&lt;=AJ$17,$E50&gt;=AJ$16),$C50*NETWORKDAYS(MAX($D50,AJ$16),MIN($E50,AJ$17),Libur!$A$2:$A$38)/NETWORKDAYS($D50,$E50,Libur!$A$2:$A$38),0)</f>
        <v>0</v>
      </c>
      <c r="AK50" s="53">
        <f>IF(AND($D50&lt;=AK$17,$E50&gt;=AK$16),$C50*NETWORKDAYS(MAX($D50,AK$16),MIN($E50,AK$17),Libur!$A$2:$A$38)/NETWORKDAYS($D50,$E50,Libur!$A$2:$A$38),0)</f>
        <v>0</v>
      </c>
      <c r="AL50" s="53">
        <f>IF(AND($D50&lt;=AL$17,$E50&gt;=AL$16),$C50*NETWORKDAYS(MAX($D50,AL$16),MIN($E50,AL$17),Libur!$A$2:$A$38)/NETWORKDAYS($D50,$E50,Libur!$A$2:$A$38),0)</f>
        <v>0</v>
      </c>
      <c r="AM50" s="53">
        <f>IF(AND($D50&lt;=AM$17,$E50&gt;=AM$16),$C50*NETWORKDAYS(MAX($D50,AM$16),MIN($E50,AM$17),Libur!$A$2:$A$38)/NETWORKDAYS($D50,$E50,Libur!$A$2:$A$38),0)</f>
        <v>0</v>
      </c>
      <c r="AN50" s="53">
        <f>IF(AND($D50&lt;=AN$17,$E50&gt;=AN$16),$C50*NETWORKDAYS(MAX($D50,AN$16),MIN($E50,AN$17),Libur!$A$2:$A$38)/NETWORKDAYS($D50,$E50,Libur!$A$2:$A$38),0)</f>
        <v>0</v>
      </c>
      <c r="AO50" s="53">
        <f>IF(AND($D50&lt;=AO$17,$E50&gt;=AO$16),$C50*NETWORKDAYS(MAX($D50,AO$16),MIN($E50,AO$17),Libur!$A$2:$A$38)/NETWORKDAYS($D50,$E50,Libur!$A$2:$A$38),0)</f>
        <v>0</v>
      </c>
      <c r="AP50" s="53">
        <f>IF(AND($D50&lt;=AP$17,$E50&gt;=AP$16),$C50*NETWORKDAYS(MAX($D50,AP$16),MIN($E50,AP$17),Libur!$A$2:$A$38)/NETWORKDAYS($D50,$E50,Libur!$A$2:$A$38),0)</f>
        <v>0</v>
      </c>
      <c r="AQ50" s="53">
        <f>IF(AND($D50&lt;=AQ$17,$E50&gt;=AQ$16),$C50*NETWORKDAYS(MAX($D50,AQ$16),MIN($E50,AQ$17),Libur!$A$2:$A$38)/NETWORKDAYS($D50,$E50,Libur!$A$2:$A$38),0)</f>
        <v>0</v>
      </c>
      <c r="AR50" s="53">
        <f>IF(AND($D50&lt;=AR$17,$E50&gt;=AR$16),$C50*NETWORKDAYS(MAX($D50,AR$16),MIN($E50,AR$17),Libur!$A$2:$A$38)/NETWORKDAYS($D50,$E50,Libur!$A$2:$A$38),0)</f>
        <v>0</v>
      </c>
      <c r="AS50" s="53">
        <f>IF(AND($D50&lt;=AS$17,$E50&gt;=AS$16),$C50*NETWORKDAYS(MAX($D50,AS$16),MIN($E50,AS$17),Libur!$A$2:$A$38)/NETWORKDAYS($D50,$E50,Libur!$A$2:$A$38),0)</f>
        <v>0</v>
      </c>
      <c r="AT50" s="53">
        <f>IF(AND($D50&lt;=AT$17,$E50&gt;=AT$16),$C50*NETWORKDAYS(MAX($D50,AT$16),MIN($E50,AT$17),Libur!$A$2:$A$38)/NETWORKDAYS($D50,$E50,Libur!$A$2:$A$38),0)</f>
        <v>0</v>
      </c>
      <c r="AU50" s="53">
        <f>IF(AND($D50&lt;=AU$17,$E50&gt;=AU$16),$C50*NETWORKDAYS(MAX($D50,AU$16),MIN($E50,AU$17),Libur!$A$2:$A$38)/NETWORKDAYS($D50,$E50,Libur!$A$2:$A$38),0)</f>
        <v>0</v>
      </c>
      <c r="AV50" s="53">
        <f>IF(AND($D50&lt;=AV$17,$E50&gt;=AV$16),$C50*NETWORKDAYS(MAX($D50,AV$16),MIN($E50,AV$17),Libur!$A$2:$A$38)/NETWORKDAYS($D50,$E50,Libur!$A$2:$A$38),0)</f>
        <v>0</v>
      </c>
      <c r="AW50" s="53">
        <f>IF(AND($D50&lt;=AW$17,$E50&gt;=AW$16),$C50*NETWORKDAYS(MAX($D50,AW$16),MIN($E50,AW$17),Libur!$A$2:$A$38)/NETWORKDAYS($D50,$E50,Libur!$A$2:$A$38),0)</f>
        <v>0</v>
      </c>
      <c r="AX50" s="53">
        <f>IF(AND($D50&lt;=AX$17,$E50&gt;=AX$16),$C50*NETWORKDAYS(MAX($D50,AX$16),MIN($E50,AX$17),Libur!$A$2:$A$38)/NETWORKDAYS($D50,$E50,Libur!$A$2:$A$38),0)</f>
        <v>0</v>
      </c>
      <c r="AY50" s="53">
        <f>IF(AND($D50&lt;=AY$17,$E50&gt;=AY$16),$C50*NETWORKDAYS(MAX($D50,AY$16),MIN($E50,AY$17),Libur!$A$2:$A$38)/NETWORKDAYS($D50,$E50,Libur!$A$2:$A$38),0)</f>
        <v>0</v>
      </c>
      <c r="AZ50" s="53">
        <f>IF(AND($D50&lt;=AZ$17,$E50&gt;=AZ$16),$C50*NETWORKDAYS(MAX($D50,AZ$16),MIN($E50,AZ$17),Libur!$A$2:$A$38)/NETWORKDAYS($D50,$E50,Libur!$A$2:$A$38),0)</f>
        <v>0</v>
      </c>
      <c r="BA50" s="53">
        <f>IF(AND($D50&lt;=BA$17,$E50&gt;=BA$16),$C50*NETWORKDAYS(MAX($D50,BA$16),MIN($E50,BA$17),Libur!$A$2:$A$38)/NETWORKDAYS($D50,$E50,Libur!$A$2:$A$38),0)</f>
        <v>0</v>
      </c>
      <c r="BB50" s="53">
        <f>IF(AND($D50&lt;=BB$17,$E50&gt;=BB$16),$C50*NETWORKDAYS(MAX($D50,BB$16),MIN($E50,BB$17),Libur!$A$2:$A$38)/NETWORKDAYS($D50,$E50,Libur!$A$2:$A$38),0)</f>
        <v>0</v>
      </c>
      <c r="BC50" s="53">
        <f>IF(AND($D50&lt;=BC$17,$E50&gt;=BC$16),$C50*NETWORKDAYS(MAX($D50,BC$16),MIN($E50,BC$17),Libur!$A$2:$A$38)/NETWORKDAYS($D50,$E50,Libur!$A$2:$A$38),0)</f>
        <v>0</v>
      </c>
      <c r="BD50" s="53">
        <f>IF(AND($D50&lt;=BD$17,$E50&gt;=BD$16),$C50*NETWORKDAYS(MAX($D50,BD$16),MIN($E50,BD$17),Libur!$A$2:$A$38)/NETWORKDAYS($D50,$E50,Libur!$A$2:$A$38),0)</f>
        <v>0</v>
      </c>
      <c r="BE50" s="53">
        <f>IF(AND($D50&lt;=BE$17,$E50&gt;=BE$16),$C50*NETWORKDAYS(MAX($D50,BE$16),MIN($E50,BE$17),Libur!$A$2:$A$38)/NETWORKDAYS($D50,$E50,Libur!$A$2:$A$38),0)</f>
        <v>0</v>
      </c>
      <c r="BF50" s="53">
        <f>IF(AND($D50&lt;=BF$17,$E50&gt;=BF$16),$C50*NETWORKDAYS(MAX($D50,BF$16),MIN($E50,BF$17),Libur!$A$2:$A$38)/NETWORKDAYS($D50,$E50,Libur!$A$2:$A$38),0)</f>
        <v>0</v>
      </c>
      <c r="BG50" s="53">
        <f>IF(AND($D50&lt;=BG$17,$E50&gt;=BG$16),$C50*NETWORKDAYS(MAX($D50,BG$16),MIN($E50,BG$17),Libur!$A$2:$A$38)/NETWORKDAYS($D50,$E50,Libur!$A$2:$A$38),0)</f>
        <v>0</v>
      </c>
      <c r="BH50" s="53">
        <f>IF(AND($D50&lt;=BH$17,$E50&gt;=BH$16),$C50*NETWORKDAYS(MAX($D50,BH$16),MIN($E50,BH$17),Libur!$A$2:$A$38)/NETWORKDAYS($D50,$E50,Libur!$A$2:$A$38),0)</f>
        <v>0</v>
      </c>
      <c r="BI50" s="53">
        <f>IF(AND($D50&lt;=BI$17,$E50&gt;=BI$16),$C50*NETWORKDAYS(MAX($D50,BI$16),MIN($E50,BI$17),Libur!$A$2:$A$38)/NETWORKDAYS($D50,$E50,Libur!$A$2:$A$38),0)</f>
        <v>0</v>
      </c>
      <c r="BJ50" s="53">
        <f>IF(AND($D50&lt;=BJ$17,$E50&gt;=BJ$16),$C50*NETWORKDAYS(MAX($D50,BJ$16),MIN($E50,BJ$17),Libur!$A$2:$A$38)/NETWORKDAYS($D50,$E50,Libur!$A$2:$A$38),0)</f>
        <v>0</v>
      </c>
      <c r="BK50" s="53">
        <f>IF(AND($D50&lt;=BK$17,$E50&gt;=BK$16),$C50*NETWORKDAYS(MAX($D50,BK$16),MIN($E50,BK$17),Libur!$A$2:$A$38)/NETWORKDAYS($D50,$E50,Libur!$A$2:$A$38),0)</f>
        <v>0</v>
      </c>
    </row>
    <row r="51" spans="1:63" s="9" customFormat="1" x14ac:dyDescent="0.25">
      <c r="A51" s="36" t="s">
        <v>101</v>
      </c>
      <c r="B51" s="9" t="s">
        <v>102</v>
      </c>
      <c r="C51" s="37">
        <f>SUM(C52:C54)</f>
        <v>6.0000000000000005E-2</v>
      </c>
      <c r="D51" s="56">
        <v>46247</v>
      </c>
      <c r="E51" s="56">
        <v>46254</v>
      </c>
      <c r="F51" s="48"/>
      <c r="G51" s="48"/>
      <c r="H51" s="40">
        <f>NETWORKDAYS(D51,E51,Libur!$A$2:$A$56)</f>
        <v>5</v>
      </c>
      <c r="I51" s="54">
        <f>IF($C$8&gt;E51,100/100,IF($C$8&lt;=D51,0,(NETWORKDAYS(D51,$C$8)/NETWORKDAYS(D51,E51))))</f>
        <v>0</v>
      </c>
      <c r="J51" s="54">
        <f>SUM(J52:J54)</f>
        <v>0</v>
      </c>
      <c r="K51" s="54">
        <f>SUM(K52:K54)</f>
        <v>0</v>
      </c>
      <c r="L51" s="54">
        <f>SUM(L52:L54)</f>
        <v>0</v>
      </c>
      <c r="M51" s="54">
        <f>SUM(M52:M54)</f>
        <v>0</v>
      </c>
      <c r="N51" s="51"/>
      <c r="O51" s="52"/>
      <c r="P51" s="53">
        <f>IF(AND($D51&lt;=P$17,$E51&gt;=P$16),$C51*NETWORKDAYS(MAX($D51,P$16),MIN($E51,P$17),Libur!$A$2:$A$38)/NETWORKDAYS($D51,$E51,Libur!$A$2:$A$38),0)</f>
        <v>0</v>
      </c>
      <c r="Q51" s="53">
        <f>IF(AND($D51&lt;=Q$17,$E51&gt;=Q$16),$C51*NETWORKDAYS(MAX($D51,Q$16),MIN($E51,Q$17),Libur!$A$2:$A$38)/NETWORKDAYS($D51,$E51,Libur!$A$2:$A$38),0)</f>
        <v>0</v>
      </c>
      <c r="R51" s="53">
        <f>IF(AND($D51&lt;=R$17,$E51&gt;=R$16),$C51*NETWORKDAYS(MAX($D51,R$16),MIN($E51,R$17),Libur!$A$2:$A$38)/NETWORKDAYS($D51,$E51,Libur!$A$2:$A$38),0)</f>
        <v>0</v>
      </c>
      <c r="S51" s="53">
        <f>IF(AND($D51&lt;=S$17,$E51&gt;=S$16),$C51*NETWORKDAYS(MAX($D51,S$16),MIN($E51,S$17),Libur!$A$2:$A$38)/NETWORKDAYS($D51,$E51,Libur!$A$2:$A$38),0)</f>
        <v>0</v>
      </c>
      <c r="T51" s="53">
        <f>IF(AND($D51&lt;=T$17,$E51&gt;=T$16),$C51*NETWORKDAYS(MAX($D51,T$16),MIN($E51,T$17),Libur!$A$2:$A$38)/NETWORKDAYS($D51,$E51,Libur!$A$2:$A$38),0)</f>
        <v>0</v>
      </c>
      <c r="U51" s="53">
        <f>IF(AND($D51&lt;=U$17,$E51&gt;=U$16),$C51*NETWORKDAYS(MAX($D51,U$16),MIN($E51,U$17),Libur!$A$2:$A$38)/NETWORKDAYS($D51,$E51,Libur!$A$2:$A$38),0)</f>
        <v>0</v>
      </c>
      <c r="V51" s="53">
        <f>IF(AND($D51&lt;=V$17,$E51&gt;=V$16),$C51*NETWORKDAYS(MAX($D51,V$16),MIN($E51,V$17),Libur!$A$2:$A$38)/NETWORKDAYS($D51,$E51,Libur!$A$2:$A$38),0)</f>
        <v>0</v>
      </c>
      <c r="W51" s="53">
        <f>IF(AND($D51&lt;=W$17,$E51&gt;=W$16),$C51*NETWORKDAYS(MAX($D51,W$16),MIN($E51,W$17),Libur!$A$2:$A$38)/NETWORKDAYS($D51,$E51,Libur!$A$2:$A$38),0)</f>
        <v>0</v>
      </c>
      <c r="X51" s="53">
        <f>IF(AND($D51&lt;=X$17,$E51&gt;=X$16),$C51*NETWORKDAYS(MAX($D51,X$16),MIN($E51,X$17),Libur!$A$2:$A$38)/NETWORKDAYS($D51,$E51,Libur!$A$2:$A$38),0)</f>
        <v>0</v>
      </c>
      <c r="Y51" s="53">
        <f>IF(AND($D51&lt;=Y$17,$E51&gt;=Y$16),$C51*NETWORKDAYS(MAX($D51,Y$16),MIN($E51,Y$17),Libur!$A$2:$A$38)/NETWORKDAYS($D51,$E51,Libur!$A$2:$A$38),0)</f>
        <v>0</v>
      </c>
      <c r="Z51" s="53">
        <f>IF(AND($D51&lt;=Z$17,$E51&gt;=Z$16),$C51*NETWORKDAYS(MAX($D51,Z$16),MIN($E51,Z$17),Libur!$A$2:$A$38)/NETWORKDAYS($D51,$E51,Libur!$A$2:$A$38),0)</f>
        <v>0</v>
      </c>
      <c r="AA51" s="53">
        <f>IF(AND($D51&lt;=AA$17,$E51&gt;=AA$16),$C51*NETWORKDAYS(MAX($D51,AA$16),MIN($E51,AA$17),Libur!$A$2:$A$38)/NETWORKDAYS($D51,$E51,Libur!$A$2:$A$38),0)</f>
        <v>0</v>
      </c>
      <c r="AB51" s="53"/>
      <c r="AC51" s="53"/>
      <c r="AD51" s="53"/>
      <c r="AE51" s="53">
        <f>IF(AND($D51&lt;=AE$17,$E51&gt;=AE$16),$C51*NETWORKDAYS(MAX($D51,AE$16),MIN($E51,AE$17),Libur!$A$2:$A$38)/NETWORKDAYS($D51,$E51,Libur!$A$2:$A$38),0)</f>
        <v>0.04</v>
      </c>
      <c r="AF51" s="53">
        <f>IF(AND($D51&lt;=AF$17,$E51&gt;=AF$16),$C51*NETWORKDAYS(MAX($D51,AF$16),MIN($E51,AF$17),Libur!$A$2:$A$38)/NETWORKDAYS($D51,$E51,Libur!$A$2:$A$38),0)</f>
        <v>0</v>
      </c>
      <c r="AG51" s="53">
        <f>IF(AND($D51&lt;=AG$17,$E51&gt;=AG$16),$C51*NETWORKDAYS(MAX($D51,AG$16),MIN($E51,AG$17),Libur!$A$2:$A$38)/NETWORKDAYS($D51,$E51,Libur!$A$2:$A$38),0)</f>
        <v>0</v>
      </c>
      <c r="AH51" s="53">
        <f>IF(AND($D51&lt;=AH$17,$E51&gt;=AH$16),$C51*NETWORKDAYS(MAX($D51,AH$16),MIN($E51,AH$17),Libur!$A$2:$A$38)/NETWORKDAYS($D51,$E51,Libur!$A$2:$A$38),0)</f>
        <v>0</v>
      </c>
      <c r="AI51" s="53">
        <f>IF(AND($D51&lt;=AI$17,$E51&gt;=AI$16),$C51*NETWORKDAYS(MAX($D51,AI$16),MIN($E51,AI$17),Libur!$A$2:$A$38)/NETWORKDAYS($D51,$E51,Libur!$A$2:$A$38),0)</f>
        <v>0</v>
      </c>
      <c r="AJ51" s="53">
        <f>IF(AND($D51&lt;=AJ$17,$E51&gt;=AJ$16),$C51*NETWORKDAYS(MAX($D51,AJ$16),MIN($E51,AJ$17),Libur!$A$2:$A$38)/NETWORKDAYS($D51,$E51,Libur!$A$2:$A$38),0)</f>
        <v>0</v>
      </c>
      <c r="AK51" s="53">
        <f>IF(AND($D51&lt;=AK$17,$E51&gt;=AK$16),$C51*NETWORKDAYS(MAX($D51,AK$16),MIN($E51,AK$17),Libur!$A$2:$A$38)/NETWORKDAYS($D51,$E51,Libur!$A$2:$A$38),0)</f>
        <v>0</v>
      </c>
      <c r="AL51" s="53">
        <f>IF(AND($D51&lt;=AL$17,$E51&gt;=AL$16),$C51*NETWORKDAYS(MAX($D51,AL$16),MIN($E51,AL$17),Libur!$A$2:$A$38)/NETWORKDAYS($D51,$E51,Libur!$A$2:$A$38),0)</f>
        <v>0</v>
      </c>
      <c r="AM51" s="53">
        <f>IF(AND($D51&lt;=AM$17,$E51&gt;=AM$16),$C51*NETWORKDAYS(MAX($D51,AM$16),MIN($E51,AM$17),Libur!$A$2:$A$38)/NETWORKDAYS($D51,$E51,Libur!$A$2:$A$38),0)</f>
        <v>0</v>
      </c>
      <c r="AN51" s="53">
        <f>IF(AND($D51&lt;=AN$17,$E51&gt;=AN$16),$C51*NETWORKDAYS(MAX($D51,AN$16),MIN($E51,AN$17),Libur!$A$2:$A$38)/NETWORKDAYS($D51,$E51,Libur!$A$2:$A$38),0)</f>
        <v>0</v>
      </c>
      <c r="AO51" s="53">
        <f>IF(AND($D51&lt;=AO$17,$E51&gt;=AO$16),$C51*NETWORKDAYS(MAX($D51,AO$16),MIN($E51,AO$17),Libur!$A$2:$A$38)/NETWORKDAYS($D51,$E51,Libur!$A$2:$A$38),0)</f>
        <v>0</v>
      </c>
      <c r="AP51" s="53">
        <f>IF(AND($D51&lt;=AP$17,$E51&gt;=AP$16),$C51*NETWORKDAYS(MAX($D51,AP$16),MIN($E51,AP$17),Libur!$A$2:$A$38)/NETWORKDAYS($D51,$E51,Libur!$A$2:$A$38),0)</f>
        <v>0</v>
      </c>
      <c r="AQ51" s="53">
        <f>IF(AND($D51&lt;=AQ$17,$E51&gt;=AQ$16),$C51*NETWORKDAYS(MAX($D51,AQ$16),MIN($E51,AQ$17),Libur!$A$2:$A$38)/NETWORKDAYS($D51,$E51,Libur!$A$2:$A$38),0)</f>
        <v>0</v>
      </c>
      <c r="AR51" s="53">
        <f>IF(AND($D51&lt;=AR$17,$E51&gt;=AR$16),$C51*NETWORKDAYS(MAX($D51,AR$16),MIN($E51,AR$17),Libur!$A$2:$A$38)/NETWORKDAYS($D51,$E51,Libur!$A$2:$A$38),0)</f>
        <v>0</v>
      </c>
      <c r="AS51" s="53">
        <f>IF(AND($D51&lt;=AS$17,$E51&gt;=AS$16),$C51*NETWORKDAYS(MAX($D51,AS$16),MIN($E51,AS$17),Libur!$A$2:$A$38)/NETWORKDAYS($D51,$E51,Libur!$A$2:$A$38),0)</f>
        <v>0</v>
      </c>
      <c r="AT51" s="53">
        <f>IF(AND($D51&lt;=AT$17,$E51&gt;=AT$16),$C51*NETWORKDAYS(MAX($D51,AT$16),MIN($E51,AT$17),Libur!$A$2:$A$38)/NETWORKDAYS($D51,$E51,Libur!$A$2:$A$38),0)</f>
        <v>0</v>
      </c>
      <c r="AU51" s="53">
        <f>IF(AND($D51&lt;=AU$17,$E51&gt;=AU$16),$C51*NETWORKDAYS(MAX($D51,AU$16),MIN($E51,AU$17),Libur!$A$2:$A$38)/NETWORKDAYS($D51,$E51,Libur!$A$2:$A$38),0)</f>
        <v>0</v>
      </c>
      <c r="AV51" s="53">
        <f>IF(AND($D51&lt;=AV$17,$E51&gt;=AV$16),$C51*NETWORKDAYS(MAX($D51,AV$16),MIN($E51,AV$17),Libur!$A$2:$A$38)/NETWORKDAYS($D51,$E51,Libur!$A$2:$A$38),0)</f>
        <v>0</v>
      </c>
      <c r="AW51" s="53">
        <f>IF(AND($D51&lt;=AW$17,$E51&gt;=AW$16),$C51*NETWORKDAYS(MAX($D51,AW$16),MIN($E51,AW$17),Libur!$A$2:$A$38)/NETWORKDAYS($D51,$E51,Libur!$A$2:$A$38),0)</f>
        <v>0</v>
      </c>
      <c r="AX51" s="53">
        <f>IF(AND($D51&lt;=AX$17,$E51&gt;=AX$16),$C51*NETWORKDAYS(MAX($D51,AX$16),MIN($E51,AX$17),Libur!$A$2:$A$38)/NETWORKDAYS($D51,$E51,Libur!$A$2:$A$38),0)</f>
        <v>0</v>
      </c>
      <c r="AY51" s="53">
        <f>IF(AND($D51&lt;=AY$17,$E51&gt;=AY$16),$C51*NETWORKDAYS(MAX($D51,AY$16),MIN($E51,AY$17),Libur!$A$2:$A$38)/NETWORKDAYS($D51,$E51,Libur!$A$2:$A$38),0)</f>
        <v>0</v>
      </c>
      <c r="AZ51" s="53">
        <f>IF(AND($D51&lt;=AZ$17,$E51&gt;=AZ$16),$C51*NETWORKDAYS(MAX($D51,AZ$16),MIN($E51,AZ$17),Libur!$A$2:$A$38)/NETWORKDAYS($D51,$E51,Libur!$A$2:$A$38),0)</f>
        <v>0</v>
      </c>
      <c r="BA51" s="53">
        <f>IF(AND($D51&lt;=BA$17,$E51&gt;=BA$16),$C51*NETWORKDAYS(MAX($D51,BA$16),MIN($E51,BA$17),Libur!$A$2:$A$38)/NETWORKDAYS($D51,$E51,Libur!$A$2:$A$38),0)</f>
        <v>0</v>
      </c>
      <c r="BB51" s="53">
        <f>IF(AND($D51&lt;=BB$17,$E51&gt;=BB$16),$C51*NETWORKDAYS(MAX($D51,BB$16),MIN($E51,BB$17),Libur!$A$2:$A$38)/NETWORKDAYS($D51,$E51,Libur!$A$2:$A$38),0)</f>
        <v>0</v>
      </c>
      <c r="BC51" s="53">
        <f>IF(AND($D51&lt;=BC$17,$E51&gt;=BC$16),$C51*NETWORKDAYS(MAX($D51,BC$16),MIN($E51,BC$17),Libur!$A$2:$A$38)/NETWORKDAYS($D51,$E51,Libur!$A$2:$A$38),0)</f>
        <v>0</v>
      </c>
      <c r="BD51" s="53">
        <f>IF(AND($D51&lt;=BD$17,$E51&gt;=BD$16),$C51*NETWORKDAYS(MAX($D51,BD$16),MIN($E51,BD$17),Libur!$A$2:$A$38)/NETWORKDAYS($D51,$E51,Libur!$A$2:$A$38),0)</f>
        <v>0</v>
      </c>
      <c r="BE51" s="53">
        <f>IF(AND($D51&lt;=BE$17,$E51&gt;=BE$16),$C51*NETWORKDAYS(MAX($D51,BE$16),MIN($E51,BE$17),Libur!$A$2:$A$38)/NETWORKDAYS($D51,$E51,Libur!$A$2:$A$38),0)</f>
        <v>0</v>
      </c>
      <c r="BF51" s="53">
        <f>IF(AND($D51&lt;=BF$17,$E51&gt;=BF$16),$C51*NETWORKDAYS(MAX($D51,BF$16),MIN($E51,BF$17),Libur!$A$2:$A$38)/NETWORKDAYS($D51,$E51,Libur!$A$2:$A$38),0)</f>
        <v>0</v>
      </c>
      <c r="BG51" s="53">
        <f>IF(AND($D51&lt;=BG$17,$E51&gt;=BG$16),$C51*NETWORKDAYS(MAX($D51,BG$16),MIN($E51,BG$17),Libur!$A$2:$A$38)/NETWORKDAYS($D51,$E51,Libur!$A$2:$A$38),0)</f>
        <v>0</v>
      </c>
      <c r="BH51" s="53">
        <f>IF(AND($D51&lt;=BH$17,$E51&gt;=BH$16),$C51*NETWORKDAYS(MAX($D51,BH$16),MIN($E51,BH$17),Libur!$A$2:$A$38)/NETWORKDAYS($D51,$E51,Libur!$A$2:$A$38),0)</f>
        <v>0</v>
      </c>
      <c r="BI51" s="53">
        <f>IF(AND($D51&lt;=BI$17,$E51&gt;=BI$16),$C51*NETWORKDAYS(MAX($D51,BI$16),MIN($E51,BI$17),Libur!$A$2:$A$38)/NETWORKDAYS($D51,$E51,Libur!$A$2:$A$38),0)</f>
        <v>0</v>
      </c>
      <c r="BJ51" s="53">
        <f>IF(AND($D51&lt;=BJ$17,$E51&gt;=BJ$16),$C51*NETWORKDAYS(MAX($D51,BJ$16),MIN($E51,BJ$17),Libur!$A$2:$A$38)/NETWORKDAYS($D51,$E51,Libur!$A$2:$A$38),0)</f>
        <v>0</v>
      </c>
      <c r="BK51" s="53">
        <f>IF(AND($D51&lt;=BK$17,$E51&gt;=BK$16),$C51*NETWORKDAYS(MAX($D51,BK$16),MIN($E51,BK$17),Libur!$A$2:$A$38)/NETWORKDAYS($D51,$E51,Libur!$A$2:$A$38),0)</f>
        <v>0</v>
      </c>
    </row>
    <row r="52" spans="1:63" x14ac:dyDescent="0.25">
      <c r="A52" s="45"/>
      <c r="B52" s="46" t="s">
        <v>102</v>
      </c>
      <c r="C52" s="48">
        <v>0.02</v>
      </c>
      <c r="D52" s="47">
        <v>46247</v>
      </c>
      <c r="E52" s="47">
        <v>46248</v>
      </c>
      <c r="F52" s="7">
        <f>C52</f>
        <v>0.02</v>
      </c>
      <c r="G52" s="48">
        <f>SUM(P52:AZ52)</f>
        <v>0.02</v>
      </c>
      <c r="H52" s="49">
        <f>NETWORKDAYS(D52,E52,Libur!$A$2:$A$56)</f>
        <v>2</v>
      </c>
      <c r="I52" s="48">
        <f>IF($C$8&gt;E52,100/100,IF($C$8&lt;=D52,0,(NETWORKDAYS(D52,$C$8)/NETWORKDAYS(D52,E52))))</f>
        <v>0</v>
      </c>
      <c r="J52" s="48">
        <f>I52*F52</f>
        <v>0</v>
      </c>
      <c r="K52" s="48">
        <v>0</v>
      </c>
      <c r="L52" s="48">
        <f>C52*K52</f>
        <v>0</v>
      </c>
      <c r="M52" s="48">
        <f>L52-J52</f>
        <v>0</v>
      </c>
      <c r="N52" s="51">
        <f>C52</f>
        <v>0.02</v>
      </c>
      <c r="O52" s="52">
        <f>SUM(P52:BK52)</f>
        <v>0.02</v>
      </c>
      <c r="P52" s="53">
        <f>IF(AND($D52&lt;=P$17,$E52&gt;=P$16),$C52*NETWORKDAYS(MAX($D52,P$16),MIN($E52,P$17),Libur!$A$2:$A$38)/NETWORKDAYS($D52,$E52,Libur!$A$2:$A$38),0)</f>
        <v>0</v>
      </c>
      <c r="Q52" s="53">
        <f>IF(AND($D52&lt;=Q$17,$E52&gt;=Q$16),$C52*NETWORKDAYS(MAX($D52,Q$16),MIN($E52,Q$17),Libur!$A$2:$A$38)/NETWORKDAYS($D52,$E52,Libur!$A$2:$A$38),0)</f>
        <v>0</v>
      </c>
      <c r="R52" s="53">
        <f>IF(AND($D52&lt;=R$17,$E52&gt;=R$16),$C52*NETWORKDAYS(MAX($D52,R$16),MIN($E52,R$17),Libur!$A$2:$A$38)/NETWORKDAYS($D52,$E52,Libur!$A$2:$A$38),0)</f>
        <v>0</v>
      </c>
      <c r="S52" s="53">
        <f>IF(AND($D52&lt;=S$17,$E52&gt;=S$16),$C52*NETWORKDAYS(MAX($D52,S$16),MIN($E52,S$17),Libur!$A$2:$A$38)/NETWORKDAYS($D52,$E52,Libur!$A$2:$A$38),0)</f>
        <v>0</v>
      </c>
      <c r="T52" s="53">
        <f>IF(AND($D52&lt;=T$17,$E52&gt;=T$16),$C52*NETWORKDAYS(MAX($D52,T$16),MIN($E52,T$17),Libur!$A$2:$A$38)/NETWORKDAYS($D52,$E52,Libur!$A$2:$A$38),0)</f>
        <v>0</v>
      </c>
      <c r="U52" s="53">
        <f>IF(AND($D52&lt;=U$17,$E52&gt;=U$16),$C52*NETWORKDAYS(MAX($D52,U$16),MIN($E52,U$17),Libur!$A$2:$A$38)/NETWORKDAYS($D52,$E52,Libur!$A$2:$A$38),0)</f>
        <v>0</v>
      </c>
      <c r="V52" s="53">
        <f>IF(AND($D52&lt;=V$17,$E52&gt;=V$16),$C52*NETWORKDAYS(MAX($D52,V$16),MIN($E52,V$17),Libur!$A$2:$A$38)/NETWORKDAYS($D52,$E52,Libur!$A$2:$A$38),0)</f>
        <v>0</v>
      </c>
      <c r="W52" s="53">
        <f>IF(AND($D52&lt;=W$17,$E52&gt;=W$16),$C52*NETWORKDAYS(MAX($D52,W$16),MIN($E52,W$17),Libur!$A$2:$A$38)/NETWORKDAYS($D52,$E52,Libur!$A$2:$A$38),0)</f>
        <v>0</v>
      </c>
      <c r="X52" s="53">
        <f>IF(AND($D52&lt;=X$17,$E52&gt;=X$16),$C52*NETWORKDAYS(MAX($D52,X$16),MIN($E52,X$17),Libur!$A$2:$A$38)/NETWORKDAYS($D52,$E52,Libur!$A$2:$A$38),0)</f>
        <v>0</v>
      </c>
      <c r="Y52" s="53">
        <f>IF(AND($D52&lt;=Y$17,$E52&gt;=Y$16),$C52*NETWORKDAYS(MAX($D52,Y$16),MIN($E52,Y$17),Libur!$A$2:$A$38)/NETWORKDAYS($D52,$E52,Libur!$A$2:$A$38),0)</f>
        <v>0</v>
      </c>
      <c r="Z52" s="53">
        <f>IF(AND($D52&lt;=Z$17,$E52&gt;=Z$16),$C52*NETWORKDAYS(MAX($D52,Z$16),MIN($E52,Z$17),Libur!$A$2:$A$38)/NETWORKDAYS($D52,$E52,Libur!$A$2:$A$38),0)</f>
        <v>0</v>
      </c>
      <c r="AA52" s="53">
        <f>IF(AND($D52&lt;=AA$17,$E52&gt;=AA$16),$C52*NETWORKDAYS(MAX($D52,AA$16),MIN($E52,AA$17),Libur!$A$2:$A$38)/NETWORKDAYS($D52,$E52,Libur!$A$2:$A$38),0)</f>
        <v>0</v>
      </c>
      <c r="AB52" s="53">
        <f>IF(AND($D52&lt;=AB$17,$E52&gt;=AB$16),$C52*NETWORKDAYS(MAX($D52,AB$16),MIN($E52,AB$17),Libur!$A$2:$A$38)/NETWORKDAYS($D52,$E52,Libur!$A$2:$A$38),0)</f>
        <v>0</v>
      </c>
      <c r="AC52" s="53">
        <f>IF(AND($D52&lt;=AC$17,$E52&gt;=AC$16),$C52*NETWORKDAYS(MAX($D52,AC$16),MIN($E52,AC$17),Libur!$A$2:$A$38)/NETWORKDAYS($D52,$E52,Libur!$A$2:$A$38),0)</f>
        <v>0</v>
      </c>
      <c r="AD52" s="53">
        <f>IF(AND($D52&lt;=AD$17,$E52&gt;=AD$16),$C52*NETWORKDAYS(MAX($D52,AD$16),MIN($E52,AD$17),Libur!$A$2:$A$38)/NETWORKDAYS($D52,$E52,Libur!$A$2:$A$38),0)</f>
        <v>0.02</v>
      </c>
      <c r="AE52" s="53">
        <f>IF(AND($D52&lt;=AE$17,$E52&gt;=AE$16),$C52*NETWORKDAYS(MAX($D52,AE$16),MIN($E52,AE$17),Libur!$A$2:$A$38)/NETWORKDAYS($D52,$E52,Libur!$A$2:$A$38),0)</f>
        <v>0</v>
      </c>
      <c r="AF52" s="53">
        <f>IF(AND($D52&lt;=AF$17,$E52&gt;=AF$16),$C52*NETWORKDAYS(MAX($D52,AF$16),MIN($E52,AF$17),Libur!$A$2:$A$38)/NETWORKDAYS($D52,$E52,Libur!$A$2:$A$38),0)</f>
        <v>0</v>
      </c>
      <c r="AG52" s="53">
        <f>IF(AND($D52&lt;=AG$17,$E52&gt;=AG$16),$C52*NETWORKDAYS(MAX($D52,AG$16),MIN($E52,AG$17),Libur!$A$2:$A$38)/NETWORKDAYS($D52,$E52,Libur!$A$2:$A$38),0)</f>
        <v>0</v>
      </c>
      <c r="AH52" s="53">
        <f>IF(AND($D52&lt;=AH$17,$E52&gt;=AH$16),$C52*NETWORKDAYS(MAX($D52,AH$16),MIN($E52,AH$17),Libur!$A$2:$A$38)/NETWORKDAYS($D52,$E52,Libur!$A$2:$A$38),0)</f>
        <v>0</v>
      </c>
      <c r="AI52" s="53">
        <f>IF(AND($D52&lt;=AI$17,$E52&gt;=AI$16),$C52*NETWORKDAYS(MAX($D52,AI$16),MIN($E52,AI$17),Libur!$A$2:$A$38)/NETWORKDAYS($D52,$E52,Libur!$A$2:$A$38),0)</f>
        <v>0</v>
      </c>
      <c r="AJ52" s="53">
        <f>IF(AND($D52&lt;=AJ$17,$E52&gt;=AJ$16),$C52*NETWORKDAYS(MAX($D52,AJ$16),MIN($E52,AJ$17),Libur!$A$2:$A$38)/NETWORKDAYS($D52,$E52,Libur!$A$2:$A$38),0)</f>
        <v>0</v>
      </c>
      <c r="AK52" s="53">
        <f>IF(AND($D52&lt;=AK$17,$E52&gt;=AK$16),$C52*NETWORKDAYS(MAX($D52,AK$16),MIN($E52,AK$17),Libur!$A$2:$A$38)/NETWORKDAYS($D52,$E52,Libur!$A$2:$A$38),0)</f>
        <v>0</v>
      </c>
      <c r="AL52" s="53">
        <f>IF(AND($D52&lt;=AL$17,$E52&gt;=AL$16),$C52*NETWORKDAYS(MAX($D52,AL$16),MIN($E52,AL$17),Libur!$A$2:$A$38)/NETWORKDAYS($D52,$E52,Libur!$A$2:$A$38),0)</f>
        <v>0</v>
      </c>
      <c r="AM52" s="53">
        <f>IF(AND($D52&lt;=AM$17,$E52&gt;=AM$16),$C52*NETWORKDAYS(MAX($D52,AM$16),MIN($E52,AM$17),Libur!$A$2:$A$38)/NETWORKDAYS($D52,$E52,Libur!$A$2:$A$38),0)</f>
        <v>0</v>
      </c>
      <c r="AN52" s="53">
        <f>IF(AND($D52&lt;=AN$17,$E52&gt;=AN$16),$C52*NETWORKDAYS(MAX($D52,AN$16),MIN($E52,AN$17),Libur!$A$2:$A$38)/NETWORKDAYS($D52,$E52,Libur!$A$2:$A$38),0)</f>
        <v>0</v>
      </c>
      <c r="AO52" s="53">
        <f>IF(AND($D52&lt;=AO$17,$E52&gt;=AO$16),$C52*NETWORKDAYS(MAX($D52,AO$16),MIN($E52,AO$17),Libur!$A$2:$A$38)/NETWORKDAYS($D52,$E52,Libur!$A$2:$A$38),0)</f>
        <v>0</v>
      </c>
      <c r="AP52" s="53">
        <f>IF(AND($D52&lt;=AP$17,$E52&gt;=AP$16),$C52*NETWORKDAYS(MAX($D52,AP$16),MIN($E52,AP$17),Libur!$A$2:$A$38)/NETWORKDAYS($D52,$E52,Libur!$A$2:$A$38),0)</f>
        <v>0</v>
      </c>
      <c r="AQ52" s="53">
        <f>IF(AND($D52&lt;=AQ$17,$E52&gt;=AQ$16),$C52*NETWORKDAYS(MAX($D52,AQ$16),MIN($E52,AQ$17),Libur!$A$2:$A$38)/NETWORKDAYS($D52,$E52,Libur!$A$2:$A$38),0)</f>
        <v>0</v>
      </c>
      <c r="AR52" s="53">
        <f>IF(AND($D52&lt;=AR$17,$E52&gt;=AR$16),$C52*NETWORKDAYS(MAX($D52,AR$16),MIN($E52,AR$17),Libur!$A$2:$A$38)/NETWORKDAYS($D52,$E52,Libur!$A$2:$A$38),0)</f>
        <v>0</v>
      </c>
      <c r="AS52" s="53">
        <f>IF(AND($D52&lt;=AS$17,$E52&gt;=AS$16),$C52*NETWORKDAYS(MAX($D52,AS$16),MIN($E52,AS$17),Libur!$A$2:$A$38)/NETWORKDAYS($D52,$E52,Libur!$A$2:$A$38),0)</f>
        <v>0</v>
      </c>
      <c r="AT52" s="53">
        <f>IF(AND($D52&lt;=AT$17,$E52&gt;=AT$16),$C52*NETWORKDAYS(MAX($D52,AT$16),MIN($E52,AT$17),Libur!$A$2:$A$38)/NETWORKDAYS($D52,$E52,Libur!$A$2:$A$38),0)</f>
        <v>0</v>
      </c>
      <c r="AU52" s="53">
        <f>IF(AND($D52&lt;=AU$17,$E52&gt;=AU$16),$C52*NETWORKDAYS(MAX($D52,AU$16),MIN($E52,AU$17),Libur!$A$2:$A$38)/NETWORKDAYS($D52,$E52,Libur!$A$2:$A$38),0)</f>
        <v>0</v>
      </c>
      <c r="AV52" s="53">
        <f>IF(AND($D52&lt;=AV$17,$E52&gt;=AV$16),$C52*NETWORKDAYS(MAX($D52,AV$16),MIN($E52,AV$17),Libur!$A$2:$A$38)/NETWORKDAYS($D52,$E52,Libur!$A$2:$A$38),0)</f>
        <v>0</v>
      </c>
      <c r="AW52" s="53">
        <f>IF(AND($D52&lt;=AW$17,$E52&gt;=AW$16),$C52*NETWORKDAYS(MAX($D52,AW$16),MIN($E52,AW$17),Libur!$A$2:$A$38)/NETWORKDAYS($D52,$E52,Libur!$A$2:$A$38),0)</f>
        <v>0</v>
      </c>
      <c r="AX52" s="53">
        <f>IF(AND($D52&lt;=AX$17,$E52&gt;=AX$16),$C52*NETWORKDAYS(MAX($D52,AX$16),MIN($E52,AX$17),Libur!$A$2:$A$38)/NETWORKDAYS($D52,$E52,Libur!$A$2:$A$38),0)</f>
        <v>0</v>
      </c>
      <c r="AY52" s="53">
        <f>IF(AND($D52&lt;=AY$17,$E52&gt;=AY$16),$C52*NETWORKDAYS(MAX($D52,AY$16),MIN($E52,AY$17),Libur!$A$2:$A$38)/NETWORKDAYS($D52,$E52,Libur!$A$2:$A$38),0)</f>
        <v>0</v>
      </c>
      <c r="AZ52" s="53">
        <f>IF(AND($D52&lt;=AZ$17,$E52&gt;=AZ$16),$C52*NETWORKDAYS(MAX($D52,AZ$16),MIN($E52,AZ$17),Libur!$A$2:$A$38)/NETWORKDAYS($D52,$E52,Libur!$A$2:$A$38),0)</f>
        <v>0</v>
      </c>
      <c r="BA52" s="53">
        <f>IF(AND($D52&lt;=BA$17,$E52&gt;=BA$16),$C52*NETWORKDAYS(MAX($D52,BA$16),MIN($E52,BA$17),Libur!$A$2:$A$38)/NETWORKDAYS($D52,$E52,Libur!$A$2:$A$38),0)</f>
        <v>0</v>
      </c>
      <c r="BB52" s="53">
        <f>IF(AND($D52&lt;=BB$17,$E52&gt;=BB$16),$C52*NETWORKDAYS(MAX($D52,BB$16),MIN($E52,BB$17),Libur!$A$2:$A$38)/NETWORKDAYS($D52,$E52,Libur!$A$2:$A$38),0)</f>
        <v>0</v>
      </c>
      <c r="BC52" s="53">
        <f>IF(AND($D52&lt;=BC$17,$E52&gt;=BC$16),$C52*NETWORKDAYS(MAX($D52,BC$16),MIN($E52,BC$17),Libur!$A$2:$A$38)/NETWORKDAYS($D52,$E52,Libur!$A$2:$A$38),0)</f>
        <v>0</v>
      </c>
      <c r="BD52" s="53">
        <f>IF(AND($D52&lt;=BD$17,$E52&gt;=BD$16),$C52*NETWORKDAYS(MAX($D52,BD$16),MIN($E52,BD$17),Libur!$A$2:$A$38)/NETWORKDAYS($D52,$E52,Libur!$A$2:$A$38),0)</f>
        <v>0</v>
      </c>
      <c r="BE52" s="53">
        <f>IF(AND($D52&lt;=BE$17,$E52&gt;=BE$16),$C52*NETWORKDAYS(MAX($D52,BE$16),MIN($E52,BE$17),Libur!$A$2:$A$38)/NETWORKDAYS($D52,$E52,Libur!$A$2:$A$38),0)</f>
        <v>0</v>
      </c>
      <c r="BF52" s="53">
        <f>IF(AND($D52&lt;=BF$17,$E52&gt;=BF$16),$C52*NETWORKDAYS(MAX($D52,BF$16),MIN($E52,BF$17),Libur!$A$2:$A$38)/NETWORKDAYS($D52,$E52,Libur!$A$2:$A$38),0)</f>
        <v>0</v>
      </c>
      <c r="BG52" s="53">
        <f>IF(AND($D52&lt;=BG$17,$E52&gt;=BG$16),$C52*NETWORKDAYS(MAX($D52,BG$16),MIN($E52,BG$17),Libur!$A$2:$A$38)/NETWORKDAYS($D52,$E52,Libur!$A$2:$A$38),0)</f>
        <v>0</v>
      </c>
      <c r="BH52" s="53">
        <f>IF(AND($D52&lt;=BH$17,$E52&gt;=BH$16),$C52*NETWORKDAYS(MAX($D52,BH$16),MIN($E52,BH$17),Libur!$A$2:$A$38)/NETWORKDAYS($D52,$E52,Libur!$A$2:$A$38),0)</f>
        <v>0</v>
      </c>
      <c r="BI52" s="53">
        <f>IF(AND($D52&lt;=BI$17,$E52&gt;=BI$16),$C52*NETWORKDAYS(MAX($D52,BI$16),MIN($E52,BI$17),Libur!$A$2:$A$38)/NETWORKDAYS($D52,$E52,Libur!$A$2:$A$38),0)</f>
        <v>0</v>
      </c>
      <c r="BJ52" s="53">
        <f>IF(AND($D52&lt;=BJ$17,$E52&gt;=BJ$16),$C52*NETWORKDAYS(MAX($D52,BJ$16),MIN($E52,BJ$17),Libur!$A$2:$A$38)/NETWORKDAYS($D52,$E52,Libur!$A$2:$A$38),0)</f>
        <v>0</v>
      </c>
      <c r="BK52" s="53">
        <f>IF(AND($D52&lt;=BK$17,$E52&gt;=BK$16),$C52*NETWORKDAYS(MAX($D52,BK$16),MIN($E52,BK$17),Libur!$A$2:$A$38)/NETWORKDAYS($D52,$E52,Libur!$A$2:$A$38),0)</f>
        <v>0</v>
      </c>
    </row>
    <row r="53" spans="1:63" x14ac:dyDescent="0.25">
      <c r="A53" s="45"/>
      <c r="B53" s="46" t="s">
        <v>103</v>
      </c>
      <c r="C53" s="48">
        <v>0.03</v>
      </c>
      <c r="D53" s="47">
        <v>46252</v>
      </c>
      <c r="E53" s="47">
        <v>46253</v>
      </c>
      <c r="F53" s="7">
        <f>C53</f>
        <v>0.03</v>
      </c>
      <c r="G53" s="48">
        <f>SUM(P53:AZ53)</f>
        <v>0.03</v>
      </c>
      <c r="H53" s="49">
        <f>NETWORKDAYS(D53,E53,Libur!$A$2:$A$56)</f>
        <v>2</v>
      </c>
      <c r="I53" s="48">
        <f>IF($C$8&gt;E53,100/100,IF($C$8&lt;=D53,0,(NETWORKDAYS(D53,$C$8)/NETWORKDAYS(D53,E53))))</f>
        <v>0</v>
      </c>
      <c r="J53" s="48">
        <f>I53*F53</f>
        <v>0</v>
      </c>
      <c r="K53" s="48">
        <v>0</v>
      </c>
      <c r="L53" s="48">
        <f>C53*K53</f>
        <v>0</v>
      </c>
      <c r="M53" s="48">
        <f>L53-J53</f>
        <v>0</v>
      </c>
      <c r="N53" s="51">
        <f>C53</f>
        <v>0.03</v>
      </c>
      <c r="O53" s="52">
        <f>SUM(P53:BK53)</f>
        <v>0.03</v>
      </c>
      <c r="P53" s="53">
        <f>IF(AND($D53&lt;=P$17,$E53&gt;=P$16),$C53*NETWORKDAYS(MAX($D53,P$16),MIN($E53,P$17),Libur!$A$2:$A$38)/NETWORKDAYS($D53,$E53,Libur!$A$2:$A$38),0)</f>
        <v>0</v>
      </c>
      <c r="Q53" s="53">
        <f>IF(AND($D53&lt;=Q$17,$E53&gt;=Q$16),$C53*NETWORKDAYS(MAX($D53,Q$16),MIN($E53,Q$17),Libur!$A$2:$A$38)/NETWORKDAYS($D53,$E53,Libur!$A$2:$A$38),0)</f>
        <v>0</v>
      </c>
      <c r="R53" s="53">
        <f>IF(AND($D53&lt;=R$17,$E53&gt;=R$16),$C53*NETWORKDAYS(MAX($D53,R$16),MIN($E53,R$17),Libur!$A$2:$A$38)/NETWORKDAYS($D53,$E53,Libur!$A$2:$A$38),0)</f>
        <v>0</v>
      </c>
      <c r="S53" s="53">
        <f>IF(AND($D53&lt;=S$17,$E53&gt;=S$16),$C53*NETWORKDAYS(MAX($D53,S$16),MIN($E53,S$17),Libur!$A$2:$A$38)/NETWORKDAYS($D53,$E53,Libur!$A$2:$A$38),0)</f>
        <v>0</v>
      </c>
      <c r="T53" s="53">
        <f>IF(AND($D53&lt;=T$17,$E53&gt;=T$16),$C53*NETWORKDAYS(MAX($D53,T$16),MIN($E53,T$17),Libur!$A$2:$A$38)/NETWORKDAYS($D53,$E53,Libur!$A$2:$A$38),0)</f>
        <v>0</v>
      </c>
      <c r="U53" s="53">
        <f>IF(AND($D53&lt;=U$17,$E53&gt;=U$16),$C53*NETWORKDAYS(MAX($D53,U$16),MIN($E53,U$17),Libur!$A$2:$A$38)/NETWORKDAYS($D53,$E53,Libur!$A$2:$A$38),0)</f>
        <v>0</v>
      </c>
      <c r="V53" s="53">
        <f>IF(AND($D53&lt;=V$17,$E53&gt;=V$16),$C53*NETWORKDAYS(MAX($D53,V$16),MIN($E53,V$17),Libur!$A$2:$A$38)/NETWORKDAYS($D53,$E53,Libur!$A$2:$A$38),0)</f>
        <v>0</v>
      </c>
      <c r="W53" s="53">
        <f>IF(AND($D53&lt;=W$17,$E53&gt;=W$16),$C53*NETWORKDAYS(MAX($D53,W$16),MIN($E53,W$17),Libur!$A$2:$A$38)/NETWORKDAYS($D53,$E53,Libur!$A$2:$A$38),0)</f>
        <v>0</v>
      </c>
      <c r="X53" s="53">
        <f>IF(AND($D53&lt;=X$17,$E53&gt;=X$16),$C53*NETWORKDAYS(MAX($D53,X$16),MIN($E53,X$17),Libur!$A$2:$A$38)/NETWORKDAYS($D53,$E53,Libur!$A$2:$A$38),0)</f>
        <v>0</v>
      </c>
      <c r="Y53" s="53">
        <f>IF(AND($D53&lt;=Y$17,$E53&gt;=Y$16),$C53*NETWORKDAYS(MAX($D53,Y$16),MIN($E53,Y$17),Libur!$A$2:$A$38)/NETWORKDAYS($D53,$E53,Libur!$A$2:$A$38),0)</f>
        <v>0</v>
      </c>
      <c r="Z53" s="53">
        <f>IF(AND($D53&lt;=Z$17,$E53&gt;=Z$16),$C53*NETWORKDAYS(MAX($D53,Z$16),MIN($E53,Z$17),Libur!$A$2:$A$38)/NETWORKDAYS($D53,$E53,Libur!$A$2:$A$38),0)</f>
        <v>0</v>
      </c>
      <c r="AA53" s="53">
        <f>IF(AND($D53&lt;=AA$17,$E53&gt;=AA$16),$C53*NETWORKDAYS(MAX($D53,AA$16),MIN($E53,AA$17),Libur!$A$2:$A$38)/NETWORKDAYS($D53,$E53,Libur!$A$2:$A$38),0)</f>
        <v>0</v>
      </c>
      <c r="AB53" s="53">
        <f>IF(AND($D53&lt;=AB$17,$E53&gt;=AB$16),$C53*NETWORKDAYS(MAX($D53,AB$16),MIN($E53,AB$17),Libur!$A$2:$A$38)/NETWORKDAYS($D53,$E53,Libur!$A$2:$A$38),0)</f>
        <v>0</v>
      </c>
      <c r="AC53" s="53">
        <f>IF(AND($D53&lt;=AC$17,$E53&gt;=AC$16),$C53*NETWORKDAYS(MAX($D53,AC$16),MIN($E53,AC$17),Libur!$A$2:$A$38)/NETWORKDAYS($D53,$E53,Libur!$A$2:$A$38),0)</f>
        <v>0</v>
      </c>
      <c r="AD53" s="53">
        <f>IF(AND($D53&lt;=AD$17,$E53&gt;=AD$16),$C53*NETWORKDAYS(MAX($D53,AD$16),MIN($E53,AD$17),Libur!$A$2:$A$38)/NETWORKDAYS($D53,$E53,Libur!$A$2:$A$38),0)</f>
        <v>0</v>
      </c>
      <c r="AE53" s="53">
        <f>IF(AND($D53&lt;=AE$17,$E53&gt;=AE$16),$C53*NETWORKDAYS(MAX($D53,AE$16),MIN($E53,AE$17),Libur!$A$2:$A$38)/NETWORKDAYS($D53,$E53,Libur!$A$2:$A$38),0)</f>
        <v>0.03</v>
      </c>
      <c r="AF53" s="53">
        <f>IF(AND($D53&lt;=AF$17,$E53&gt;=AF$16),$C53*NETWORKDAYS(MAX($D53,AF$16),MIN($E53,AF$17),Libur!$A$2:$A$38)/NETWORKDAYS($D53,$E53,Libur!$A$2:$A$38),0)</f>
        <v>0</v>
      </c>
      <c r="AG53" s="53">
        <f>IF(AND($D53&lt;=AG$17,$E53&gt;=AG$16),$C53*NETWORKDAYS(MAX($D53,AG$16),MIN($E53,AG$17),Libur!$A$2:$A$38)/NETWORKDAYS($D53,$E53,Libur!$A$2:$A$38),0)</f>
        <v>0</v>
      </c>
      <c r="AH53" s="53">
        <f>IF(AND($D53&lt;=AH$17,$E53&gt;=AH$16),$C53*NETWORKDAYS(MAX($D53,AH$16),MIN($E53,AH$17),Libur!$A$2:$A$38)/NETWORKDAYS($D53,$E53,Libur!$A$2:$A$38),0)</f>
        <v>0</v>
      </c>
      <c r="AI53" s="53">
        <f>IF(AND($D53&lt;=AI$17,$E53&gt;=AI$16),$C53*NETWORKDAYS(MAX($D53,AI$16),MIN($E53,AI$17),Libur!$A$2:$A$38)/NETWORKDAYS($D53,$E53,Libur!$A$2:$A$38),0)</f>
        <v>0</v>
      </c>
      <c r="AJ53" s="53">
        <f>IF(AND($D53&lt;=AJ$17,$E53&gt;=AJ$16),$C53*NETWORKDAYS(MAX($D53,AJ$16),MIN($E53,AJ$17),Libur!$A$2:$A$38)/NETWORKDAYS($D53,$E53,Libur!$A$2:$A$38),0)</f>
        <v>0</v>
      </c>
      <c r="AK53" s="53">
        <f>IF(AND($D53&lt;=AK$17,$E53&gt;=AK$16),$C53*NETWORKDAYS(MAX($D53,AK$16),MIN($E53,AK$17),Libur!$A$2:$A$38)/NETWORKDAYS($D53,$E53,Libur!$A$2:$A$38),0)</f>
        <v>0</v>
      </c>
      <c r="AL53" s="53">
        <f>IF(AND($D53&lt;=AL$17,$E53&gt;=AL$16),$C53*NETWORKDAYS(MAX($D53,AL$16),MIN($E53,AL$17),Libur!$A$2:$A$38)/NETWORKDAYS($D53,$E53,Libur!$A$2:$A$38),0)</f>
        <v>0</v>
      </c>
      <c r="AM53" s="53">
        <f>IF(AND($D53&lt;=AM$17,$E53&gt;=AM$16),$C53*NETWORKDAYS(MAX($D53,AM$16),MIN($E53,AM$17),Libur!$A$2:$A$38)/NETWORKDAYS($D53,$E53,Libur!$A$2:$A$38),0)</f>
        <v>0</v>
      </c>
      <c r="AN53" s="53">
        <f>IF(AND($D53&lt;=AN$17,$E53&gt;=AN$16),$C53*NETWORKDAYS(MAX($D53,AN$16),MIN($E53,AN$17),Libur!$A$2:$A$38)/NETWORKDAYS($D53,$E53,Libur!$A$2:$A$38),0)</f>
        <v>0</v>
      </c>
      <c r="AO53" s="53">
        <f>IF(AND($D53&lt;=AO$17,$E53&gt;=AO$16),$C53*NETWORKDAYS(MAX($D53,AO$16),MIN($E53,AO$17),Libur!$A$2:$A$38)/NETWORKDAYS($D53,$E53,Libur!$A$2:$A$38),0)</f>
        <v>0</v>
      </c>
      <c r="AP53" s="53">
        <f>IF(AND($D53&lt;=AP$17,$E53&gt;=AP$16),$C53*NETWORKDAYS(MAX($D53,AP$16),MIN($E53,AP$17),Libur!$A$2:$A$38)/NETWORKDAYS($D53,$E53,Libur!$A$2:$A$38),0)</f>
        <v>0</v>
      </c>
      <c r="AQ53" s="53">
        <f>IF(AND($D53&lt;=AQ$17,$E53&gt;=AQ$16),$C53*NETWORKDAYS(MAX($D53,AQ$16),MIN($E53,AQ$17),Libur!$A$2:$A$38)/NETWORKDAYS($D53,$E53,Libur!$A$2:$A$38),0)</f>
        <v>0</v>
      </c>
      <c r="AR53" s="53">
        <f>IF(AND($D53&lt;=AR$17,$E53&gt;=AR$16),$C53*NETWORKDAYS(MAX($D53,AR$16),MIN($E53,AR$17),Libur!$A$2:$A$38)/NETWORKDAYS($D53,$E53,Libur!$A$2:$A$38),0)</f>
        <v>0</v>
      </c>
      <c r="AS53" s="53">
        <f>IF(AND($D53&lt;=AS$17,$E53&gt;=AS$16),$C53*NETWORKDAYS(MAX($D53,AS$16),MIN($E53,AS$17),Libur!$A$2:$A$38)/NETWORKDAYS($D53,$E53,Libur!$A$2:$A$38),0)</f>
        <v>0</v>
      </c>
      <c r="AT53" s="53">
        <f>IF(AND($D53&lt;=AT$17,$E53&gt;=AT$16),$C53*NETWORKDAYS(MAX($D53,AT$16),MIN($E53,AT$17),Libur!$A$2:$A$38)/NETWORKDAYS($D53,$E53,Libur!$A$2:$A$38),0)</f>
        <v>0</v>
      </c>
      <c r="AU53" s="53">
        <f>IF(AND($D53&lt;=AU$17,$E53&gt;=AU$16),$C53*NETWORKDAYS(MAX($D53,AU$16),MIN($E53,AU$17),Libur!$A$2:$A$38)/NETWORKDAYS($D53,$E53,Libur!$A$2:$A$38),0)</f>
        <v>0</v>
      </c>
      <c r="AV53" s="53">
        <f>IF(AND($D53&lt;=AV$17,$E53&gt;=AV$16),$C53*NETWORKDAYS(MAX($D53,AV$16),MIN($E53,AV$17),Libur!$A$2:$A$38)/NETWORKDAYS($D53,$E53,Libur!$A$2:$A$38),0)</f>
        <v>0</v>
      </c>
      <c r="AW53" s="53">
        <f>IF(AND($D53&lt;=AW$17,$E53&gt;=AW$16),$C53*NETWORKDAYS(MAX($D53,AW$16),MIN($E53,AW$17),Libur!$A$2:$A$38)/NETWORKDAYS($D53,$E53,Libur!$A$2:$A$38),0)</f>
        <v>0</v>
      </c>
      <c r="AX53" s="53">
        <f>IF(AND($D53&lt;=AX$17,$E53&gt;=AX$16),$C53*NETWORKDAYS(MAX($D53,AX$16),MIN($E53,AX$17),Libur!$A$2:$A$38)/NETWORKDAYS($D53,$E53,Libur!$A$2:$A$38),0)</f>
        <v>0</v>
      </c>
      <c r="AY53" s="53">
        <f>IF(AND($D53&lt;=AY$17,$E53&gt;=AY$16),$C53*NETWORKDAYS(MAX($D53,AY$16),MIN($E53,AY$17),Libur!$A$2:$A$38)/NETWORKDAYS($D53,$E53,Libur!$A$2:$A$38),0)</f>
        <v>0</v>
      </c>
      <c r="AZ53" s="53">
        <f>IF(AND($D53&lt;=AZ$17,$E53&gt;=AZ$16),$C53*NETWORKDAYS(MAX($D53,AZ$16),MIN($E53,AZ$17),Libur!$A$2:$A$38)/NETWORKDAYS($D53,$E53,Libur!$A$2:$A$38),0)</f>
        <v>0</v>
      </c>
      <c r="BA53" s="53">
        <f>IF(AND($D53&lt;=BA$17,$E53&gt;=BA$16),$C53*NETWORKDAYS(MAX($D53,BA$16),MIN($E53,BA$17),Libur!$A$2:$A$38)/NETWORKDAYS($D53,$E53,Libur!$A$2:$A$38),0)</f>
        <v>0</v>
      </c>
      <c r="BB53" s="53">
        <f>IF(AND($D53&lt;=BB$17,$E53&gt;=BB$16),$C53*NETWORKDAYS(MAX($D53,BB$16),MIN($E53,BB$17),Libur!$A$2:$A$38)/NETWORKDAYS($D53,$E53,Libur!$A$2:$A$38),0)</f>
        <v>0</v>
      </c>
      <c r="BC53" s="53">
        <f>IF(AND($D53&lt;=BC$17,$E53&gt;=BC$16),$C53*NETWORKDAYS(MAX($D53,BC$16),MIN($E53,BC$17),Libur!$A$2:$A$38)/NETWORKDAYS($D53,$E53,Libur!$A$2:$A$38),0)</f>
        <v>0</v>
      </c>
      <c r="BD53" s="53">
        <f>IF(AND($D53&lt;=BD$17,$E53&gt;=BD$16),$C53*NETWORKDAYS(MAX($D53,BD$16),MIN($E53,BD$17),Libur!$A$2:$A$38)/NETWORKDAYS($D53,$E53,Libur!$A$2:$A$38),0)</f>
        <v>0</v>
      </c>
      <c r="BE53" s="53">
        <f>IF(AND($D53&lt;=BE$17,$E53&gt;=BE$16),$C53*NETWORKDAYS(MAX($D53,BE$16),MIN($E53,BE$17),Libur!$A$2:$A$38)/NETWORKDAYS($D53,$E53,Libur!$A$2:$A$38),0)</f>
        <v>0</v>
      </c>
      <c r="BF53" s="53">
        <f>IF(AND($D53&lt;=BF$17,$E53&gt;=BF$16),$C53*NETWORKDAYS(MAX($D53,BF$16),MIN($E53,BF$17),Libur!$A$2:$A$38)/NETWORKDAYS($D53,$E53,Libur!$A$2:$A$38),0)</f>
        <v>0</v>
      </c>
      <c r="BG53" s="53">
        <f>IF(AND($D53&lt;=BG$17,$E53&gt;=BG$16),$C53*NETWORKDAYS(MAX($D53,BG$16),MIN($E53,BG$17),Libur!$A$2:$A$38)/NETWORKDAYS($D53,$E53,Libur!$A$2:$A$38),0)</f>
        <v>0</v>
      </c>
      <c r="BH53" s="53">
        <f>IF(AND($D53&lt;=BH$17,$E53&gt;=BH$16),$C53*NETWORKDAYS(MAX($D53,BH$16),MIN($E53,BH$17),Libur!$A$2:$A$38)/NETWORKDAYS($D53,$E53,Libur!$A$2:$A$38),0)</f>
        <v>0</v>
      </c>
      <c r="BI53" s="53">
        <f>IF(AND($D53&lt;=BI$17,$E53&gt;=BI$16),$C53*NETWORKDAYS(MAX($D53,BI$16),MIN($E53,BI$17),Libur!$A$2:$A$38)/NETWORKDAYS($D53,$E53,Libur!$A$2:$A$38),0)</f>
        <v>0</v>
      </c>
      <c r="BJ53" s="53">
        <f>IF(AND($D53&lt;=BJ$17,$E53&gt;=BJ$16),$C53*NETWORKDAYS(MAX($D53,BJ$16),MIN($E53,BJ$17),Libur!$A$2:$A$38)/NETWORKDAYS($D53,$E53,Libur!$A$2:$A$38),0)</f>
        <v>0</v>
      </c>
      <c r="BK53" s="53">
        <f>IF(AND($D53&lt;=BK$17,$E53&gt;=BK$16),$C53*NETWORKDAYS(MAX($D53,BK$16),MIN($E53,BK$17),Libur!$A$2:$A$38)/NETWORKDAYS($D53,$E53,Libur!$A$2:$A$38),0)</f>
        <v>0</v>
      </c>
    </row>
    <row r="54" spans="1:63" x14ac:dyDescent="0.25">
      <c r="A54" s="45"/>
      <c r="B54" s="46" t="s">
        <v>104</v>
      </c>
      <c r="C54" s="48">
        <v>0.01</v>
      </c>
      <c r="D54" s="47">
        <v>46254</v>
      </c>
      <c r="E54" s="47">
        <v>46254</v>
      </c>
      <c r="F54" s="7">
        <f>C54</f>
        <v>0.01</v>
      </c>
      <c r="G54" s="48">
        <f>SUM(P54:AZ54)</f>
        <v>0.01</v>
      </c>
      <c r="H54" s="49">
        <f>NETWORKDAYS(D54,E54,Libur!$A$2:$A$56)</f>
        <v>1</v>
      </c>
      <c r="I54" s="48">
        <f>IF($C$8&gt;E54,100/100,IF($C$8&lt;=D54,0,(NETWORKDAYS(D54,$C$8)/NETWORKDAYS(D54,E54))))</f>
        <v>0</v>
      </c>
      <c r="J54" s="48">
        <f>I54*F54</f>
        <v>0</v>
      </c>
      <c r="K54" s="48">
        <v>0</v>
      </c>
      <c r="L54" s="48">
        <f>C54*K54</f>
        <v>0</v>
      </c>
      <c r="M54" s="48">
        <f>L54-J54</f>
        <v>0</v>
      </c>
      <c r="N54" s="51">
        <f>C54</f>
        <v>0.01</v>
      </c>
      <c r="O54" s="52">
        <f>SUM(P54:BK54)</f>
        <v>0.01</v>
      </c>
      <c r="P54" s="53">
        <f>IF(AND($D54&lt;=P$17,$E54&gt;=P$16),$C54*NETWORKDAYS(MAX($D54,P$16),MIN($E54,P$17),Libur!$A$2:$A$38)/NETWORKDAYS($D54,$E54,Libur!$A$2:$A$38),0)</f>
        <v>0</v>
      </c>
      <c r="Q54" s="53">
        <f>IF(AND($D54&lt;=Q$17,$E54&gt;=Q$16),$C54*NETWORKDAYS(MAX($D54,Q$16),MIN($E54,Q$17),Libur!$A$2:$A$38)/NETWORKDAYS($D54,$E54,Libur!$A$2:$A$38),0)</f>
        <v>0</v>
      </c>
      <c r="R54" s="53">
        <f>IF(AND($D54&lt;=R$17,$E54&gt;=R$16),$C54*NETWORKDAYS(MAX($D54,R$16),MIN($E54,R$17),Libur!$A$2:$A$38)/NETWORKDAYS($D54,$E54,Libur!$A$2:$A$38),0)</f>
        <v>0</v>
      </c>
      <c r="S54" s="53">
        <f>IF(AND($D54&lt;=S$17,$E54&gt;=S$16),$C54*NETWORKDAYS(MAX($D54,S$16),MIN($E54,S$17),Libur!$A$2:$A$38)/NETWORKDAYS($D54,$E54,Libur!$A$2:$A$38),0)</f>
        <v>0</v>
      </c>
      <c r="T54" s="53">
        <f>IF(AND($D54&lt;=T$17,$E54&gt;=T$16),$C54*NETWORKDAYS(MAX($D54,T$16),MIN($E54,T$17),Libur!$A$2:$A$38)/NETWORKDAYS($D54,$E54,Libur!$A$2:$A$38),0)</f>
        <v>0</v>
      </c>
      <c r="U54" s="53">
        <f>IF(AND($D54&lt;=U$17,$E54&gt;=U$16),$C54*NETWORKDAYS(MAX($D54,U$16),MIN($E54,U$17),Libur!$A$2:$A$38)/NETWORKDAYS($D54,$E54,Libur!$A$2:$A$38),0)</f>
        <v>0</v>
      </c>
      <c r="V54" s="53">
        <f>IF(AND($D54&lt;=V$17,$E54&gt;=V$16),$C54*NETWORKDAYS(MAX($D54,V$16),MIN($E54,V$17),Libur!$A$2:$A$38)/NETWORKDAYS($D54,$E54,Libur!$A$2:$A$38),0)</f>
        <v>0</v>
      </c>
      <c r="W54" s="53">
        <f>IF(AND($D54&lt;=W$17,$E54&gt;=W$16),$C54*NETWORKDAYS(MAX($D54,W$16),MIN($E54,W$17),Libur!$A$2:$A$38)/NETWORKDAYS($D54,$E54,Libur!$A$2:$A$38),0)</f>
        <v>0</v>
      </c>
      <c r="X54" s="53">
        <f>IF(AND($D54&lt;=X$17,$E54&gt;=X$16),$C54*NETWORKDAYS(MAX($D54,X$16),MIN($E54,X$17),Libur!$A$2:$A$38)/NETWORKDAYS($D54,$E54,Libur!$A$2:$A$38),0)</f>
        <v>0</v>
      </c>
      <c r="Y54" s="53">
        <f>IF(AND($D54&lt;=Y$17,$E54&gt;=Y$16),$C54*NETWORKDAYS(MAX($D54,Y$16),MIN($E54,Y$17),Libur!$A$2:$A$38)/NETWORKDAYS($D54,$E54,Libur!$A$2:$A$38),0)</f>
        <v>0</v>
      </c>
      <c r="Z54" s="53">
        <f>IF(AND($D54&lt;=Z$17,$E54&gt;=Z$16),$C54*NETWORKDAYS(MAX($D54,Z$16),MIN($E54,Z$17),Libur!$A$2:$A$38)/NETWORKDAYS($D54,$E54,Libur!$A$2:$A$38),0)</f>
        <v>0</v>
      </c>
      <c r="AA54" s="53">
        <f>IF(AND($D54&lt;=AA$17,$E54&gt;=AA$16),$C54*NETWORKDAYS(MAX($D54,AA$16),MIN($E54,AA$17),Libur!$A$2:$A$38)/NETWORKDAYS($D54,$E54,Libur!$A$2:$A$38),0)</f>
        <v>0</v>
      </c>
      <c r="AB54" s="53">
        <f>IF(AND($D54&lt;=AB$17,$E54&gt;=AB$16),$C54*NETWORKDAYS(MAX($D54,AB$16),MIN($E54,AB$17),Libur!$A$2:$A$38)/NETWORKDAYS($D54,$E54,Libur!$A$2:$A$38),0)</f>
        <v>0</v>
      </c>
      <c r="AC54" s="53">
        <f>IF(AND($D54&lt;=AC$17,$E54&gt;=AC$16),$C54*NETWORKDAYS(MAX($D54,AC$16),MIN($E54,AC$17),Libur!$A$2:$A$38)/NETWORKDAYS($D54,$E54,Libur!$A$2:$A$38),0)</f>
        <v>0</v>
      </c>
      <c r="AD54" s="53">
        <f>IF(AND($D54&lt;=AD$17,$E54&gt;=AD$16),$C54*NETWORKDAYS(MAX($D54,AD$16),MIN($E54,AD$17),Libur!$A$2:$A$38)/NETWORKDAYS($D54,$E54,Libur!$A$2:$A$38),0)</f>
        <v>0</v>
      </c>
      <c r="AE54" s="53">
        <f>IF(AND($D54&lt;=AE$17,$E54&gt;=AE$16),$C54*NETWORKDAYS(MAX($D54,AE$16),MIN($E54,AE$17),Libur!$A$2:$A$38)/NETWORKDAYS($D54,$E54,Libur!$A$2:$A$38),0)</f>
        <v>0.01</v>
      </c>
      <c r="AF54" s="53">
        <f>IF(AND($D54&lt;=AF$17,$E54&gt;=AF$16),$C54*NETWORKDAYS(MAX($D54,AF$16),MIN($E54,AF$17),Libur!$A$2:$A$38)/NETWORKDAYS($D54,$E54,Libur!$A$2:$A$38),0)</f>
        <v>0</v>
      </c>
      <c r="AG54" s="53">
        <f>IF(AND($D54&lt;=AG$17,$E54&gt;=AG$16),$C54*NETWORKDAYS(MAX($D54,AG$16),MIN($E54,AG$17),Libur!$A$2:$A$38)/NETWORKDAYS($D54,$E54,Libur!$A$2:$A$38),0)</f>
        <v>0</v>
      </c>
      <c r="AH54" s="53">
        <f>IF(AND($D54&lt;=AH$17,$E54&gt;=AH$16),$C54*NETWORKDAYS(MAX($D54,AH$16),MIN($E54,AH$17),Libur!$A$2:$A$38)/NETWORKDAYS($D54,$E54,Libur!$A$2:$A$38),0)</f>
        <v>0</v>
      </c>
      <c r="AI54" s="53">
        <f>IF(AND($D54&lt;=AI$17,$E54&gt;=AI$16),$C54*NETWORKDAYS(MAX($D54,AI$16),MIN($E54,AI$17),Libur!$A$2:$A$38)/NETWORKDAYS($D54,$E54,Libur!$A$2:$A$38),0)</f>
        <v>0</v>
      </c>
      <c r="AJ54" s="53">
        <f>IF(AND($D54&lt;=AJ$17,$E54&gt;=AJ$16),$C54*NETWORKDAYS(MAX($D54,AJ$16),MIN($E54,AJ$17),Libur!$A$2:$A$38)/NETWORKDAYS($D54,$E54,Libur!$A$2:$A$38),0)</f>
        <v>0</v>
      </c>
      <c r="AK54" s="53">
        <f>IF(AND($D54&lt;=AK$17,$E54&gt;=AK$16),$C54*NETWORKDAYS(MAX($D54,AK$16),MIN($E54,AK$17),Libur!$A$2:$A$38)/NETWORKDAYS($D54,$E54,Libur!$A$2:$A$38),0)</f>
        <v>0</v>
      </c>
      <c r="AL54" s="53">
        <f>IF(AND($D54&lt;=AL$17,$E54&gt;=AL$16),$C54*NETWORKDAYS(MAX($D54,AL$16),MIN($E54,AL$17),Libur!$A$2:$A$38)/NETWORKDAYS($D54,$E54,Libur!$A$2:$A$38),0)</f>
        <v>0</v>
      </c>
      <c r="AM54" s="53">
        <f>IF(AND($D54&lt;=AM$17,$E54&gt;=AM$16),$C54*NETWORKDAYS(MAX($D54,AM$16),MIN($E54,AM$17),Libur!$A$2:$A$38)/NETWORKDAYS($D54,$E54,Libur!$A$2:$A$38),0)</f>
        <v>0</v>
      </c>
      <c r="AN54" s="53">
        <f>IF(AND($D54&lt;=AN$17,$E54&gt;=AN$16),$C54*NETWORKDAYS(MAX($D54,AN$16),MIN($E54,AN$17),Libur!$A$2:$A$38)/NETWORKDAYS($D54,$E54,Libur!$A$2:$A$38),0)</f>
        <v>0</v>
      </c>
      <c r="AO54" s="53">
        <f>IF(AND($D54&lt;=AO$17,$E54&gt;=AO$16),$C54*NETWORKDAYS(MAX($D54,AO$16),MIN($E54,AO$17),Libur!$A$2:$A$38)/NETWORKDAYS($D54,$E54,Libur!$A$2:$A$38),0)</f>
        <v>0</v>
      </c>
      <c r="AP54" s="53">
        <f>IF(AND($D54&lt;=AP$17,$E54&gt;=AP$16),$C54*NETWORKDAYS(MAX($D54,AP$16),MIN($E54,AP$17),Libur!$A$2:$A$38)/NETWORKDAYS($D54,$E54,Libur!$A$2:$A$38),0)</f>
        <v>0</v>
      </c>
      <c r="AQ54" s="53">
        <f>IF(AND($D54&lt;=AQ$17,$E54&gt;=AQ$16),$C54*NETWORKDAYS(MAX($D54,AQ$16),MIN($E54,AQ$17),Libur!$A$2:$A$38)/NETWORKDAYS($D54,$E54,Libur!$A$2:$A$38),0)</f>
        <v>0</v>
      </c>
      <c r="AR54" s="53">
        <f>IF(AND($D54&lt;=AR$17,$E54&gt;=AR$16),$C54*NETWORKDAYS(MAX($D54,AR$16),MIN($E54,AR$17),Libur!$A$2:$A$38)/NETWORKDAYS($D54,$E54,Libur!$A$2:$A$38),0)</f>
        <v>0</v>
      </c>
      <c r="AS54" s="53">
        <f>IF(AND($D54&lt;=AS$17,$E54&gt;=AS$16),$C54*NETWORKDAYS(MAX($D54,AS$16),MIN($E54,AS$17),Libur!$A$2:$A$38)/NETWORKDAYS($D54,$E54,Libur!$A$2:$A$38),0)</f>
        <v>0</v>
      </c>
      <c r="AT54" s="53">
        <f>IF(AND($D54&lt;=AT$17,$E54&gt;=AT$16),$C54*NETWORKDAYS(MAX($D54,AT$16),MIN($E54,AT$17),Libur!$A$2:$A$38)/NETWORKDAYS($D54,$E54,Libur!$A$2:$A$38),0)</f>
        <v>0</v>
      </c>
      <c r="AU54" s="53">
        <f>IF(AND($D54&lt;=AU$17,$E54&gt;=AU$16),$C54*NETWORKDAYS(MAX($D54,AU$16),MIN($E54,AU$17),Libur!$A$2:$A$38)/NETWORKDAYS($D54,$E54,Libur!$A$2:$A$38),0)</f>
        <v>0</v>
      </c>
      <c r="AV54" s="53">
        <f>IF(AND($D54&lt;=AV$17,$E54&gt;=AV$16),$C54*NETWORKDAYS(MAX($D54,AV$16),MIN($E54,AV$17),Libur!$A$2:$A$38)/NETWORKDAYS($D54,$E54,Libur!$A$2:$A$38),0)</f>
        <v>0</v>
      </c>
      <c r="AW54" s="53">
        <f>IF(AND($D54&lt;=AW$17,$E54&gt;=AW$16),$C54*NETWORKDAYS(MAX($D54,AW$16),MIN($E54,AW$17),Libur!$A$2:$A$38)/NETWORKDAYS($D54,$E54,Libur!$A$2:$A$38),0)</f>
        <v>0</v>
      </c>
      <c r="AX54" s="53">
        <f>IF(AND($D54&lt;=AX$17,$E54&gt;=AX$16),$C54*NETWORKDAYS(MAX($D54,AX$16),MIN($E54,AX$17),Libur!$A$2:$A$38)/NETWORKDAYS($D54,$E54,Libur!$A$2:$A$38),0)</f>
        <v>0</v>
      </c>
      <c r="AY54" s="53">
        <f>IF(AND($D54&lt;=AY$17,$E54&gt;=AY$16),$C54*NETWORKDAYS(MAX($D54,AY$16),MIN($E54,AY$17),Libur!$A$2:$A$38)/NETWORKDAYS($D54,$E54,Libur!$A$2:$A$38),0)</f>
        <v>0</v>
      </c>
      <c r="AZ54" s="53">
        <f>IF(AND($D54&lt;=AZ$17,$E54&gt;=AZ$16),$C54*NETWORKDAYS(MAX($D54,AZ$16),MIN($E54,AZ$17),Libur!$A$2:$A$38)/NETWORKDAYS($D54,$E54,Libur!$A$2:$A$38),0)</f>
        <v>0</v>
      </c>
      <c r="BA54" s="53">
        <f>IF(AND($D54&lt;=BA$17,$E54&gt;=BA$16),$C54*NETWORKDAYS(MAX($D54,BA$16),MIN($E54,BA$17),Libur!$A$2:$A$38)/NETWORKDAYS($D54,$E54,Libur!$A$2:$A$38),0)</f>
        <v>0</v>
      </c>
      <c r="BB54" s="53">
        <f>IF(AND($D54&lt;=BB$17,$E54&gt;=BB$16),$C54*NETWORKDAYS(MAX($D54,BB$16),MIN($E54,BB$17),Libur!$A$2:$A$38)/NETWORKDAYS($D54,$E54,Libur!$A$2:$A$38),0)</f>
        <v>0</v>
      </c>
      <c r="BC54" s="53">
        <f>IF(AND($D54&lt;=BC$17,$E54&gt;=BC$16),$C54*NETWORKDAYS(MAX($D54,BC$16),MIN($E54,BC$17),Libur!$A$2:$A$38)/NETWORKDAYS($D54,$E54,Libur!$A$2:$A$38),0)</f>
        <v>0</v>
      </c>
      <c r="BD54" s="53">
        <f>IF(AND($D54&lt;=BD$17,$E54&gt;=BD$16),$C54*NETWORKDAYS(MAX($D54,BD$16),MIN($E54,BD$17),Libur!$A$2:$A$38)/NETWORKDAYS($D54,$E54,Libur!$A$2:$A$38),0)</f>
        <v>0</v>
      </c>
      <c r="BE54" s="53">
        <f>IF(AND($D54&lt;=BE$17,$E54&gt;=BE$16),$C54*NETWORKDAYS(MAX($D54,BE$16),MIN($E54,BE$17),Libur!$A$2:$A$38)/NETWORKDAYS($D54,$E54,Libur!$A$2:$A$38),0)</f>
        <v>0</v>
      </c>
      <c r="BF54" s="53">
        <f>IF(AND($D54&lt;=BF$17,$E54&gt;=BF$16),$C54*NETWORKDAYS(MAX($D54,BF$16),MIN($E54,BF$17),Libur!$A$2:$A$38)/NETWORKDAYS($D54,$E54,Libur!$A$2:$A$38),0)</f>
        <v>0</v>
      </c>
      <c r="BG54" s="53">
        <f>IF(AND($D54&lt;=BG$17,$E54&gt;=BG$16),$C54*NETWORKDAYS(MAX($D54,BG$16),MIN($E54,BG$17),Libur!$A$2:$A$38)/NETWORKDAYS($D54,$E54,Libur!$A$2:$A$38),0)</f>
        <v>0</v>
      </c>
      <c r="BH54" s="53">
        <f>IF(AND($D54&lt;=BH$17,$E54&gt;=BH$16),$C54*NETWORKDAYS(MAX($D54,BH$16),MIN($E54,BH$17),Libur!$A$2:$A$38)/NETWORKDAYS($D54,$E54,Libur!$A$2:$A$38),0)</f>
        <v>0</v>
      </c>
      <c r="BI54" s="53">
        <f>IF(AND($D54&lt;=BI$17,$E54&gt;=BI$16),$C54*NETWORKDAYS(MAX($D54,BI$16),MIN($E54,BI$17),Libur!$A$2:$A$38)/NETWORKDAYS($D54,$E54,Libur!$A$2:$A$38),0)</f>
        <v>0</v>
      </c>
      <c r="BJ54" s="53">
        <f>IF(AND($D54&lt;=BJ$17,$E54&gt;=BJ$16),$C54*NETWORKDAYS(MAX($D54,BJ$16),MIN($E54,BJ$17),Libur!$A$2:$A$38)/NETWORKDAYS($D54,$E54,Libur!$A$2:$A$38),0)</f>
        <v>0</v>
      </c>
      <c r="BK54" s="53">
        <f>IF(AND($D54&lt;=BK$17,$E54&gt;=BK$16),$C54*NETWORKDAYS(MAX($D54,BK$16),MIN($E54,BK$17),Libur!$A$2:$A$38)/NETWORKDAYS($D54,$E54,Libur!$A$2:$A$38),0)</f>
        <v>0</v>
      </c>
    </row>
    <row r="55" spans="1:63" s="9" customFormat="1" x14ac:dyDescent="0.25">
      <c r="A55" s="45"/>
      <c r="B55" s="46"/>
      <c r="C55" s="48"/>
      <c r="D55" s="47"/>
      <c r="E55" s="47"/>
      <c r="F55" s="48"/>
      <c r="G55" s="48"/>
      <c r="H55" s="49"/>
      <c r="I55" s="48"/>
      <c r="J55" s="48"/>
      <c r="K55" s="48"/>
      <c r="L55" s="48"/>
      <c r="M55" s="48"/>
      <c r="N55" s="48"/>
      <c r="O55" s="52"/>
      <c r="P55" s="53">
        <f>IF(AND($D55&lt;=P$17,$E55&gt;=P$16),$C55*NETWORKDAYS(MAX($D55,P$16),MIN($E55,P$17),Libur!$A$2:$A$38)/NETWORKDAYS($D55,$E55,Libur!$A$2:$A$38),0)</f>
        <v>0</v>
      </c>
      <c r="Q55" s="53">
        <f>IF(AND($D55&lt;=Q$17,$E55&gt;=Q$16),$C55*NETWORKDAYS(MAX($D55,Q$16),MIN($E55,Q$17),Libur!$A$2:$A$38)/NETWORKDAYS($D55,$E55,Libur!$A$2:$A$38),0)</f>
        <v>0</v>
      </c>
      <c r="R55" s="53">
        <f>IF(AND($D55&lt;=R$17,$E55&gt;=R$16),$C55*NETWORKDAYS(MAX($D55,R$16),MIN($E55,R$17),Libur!$A$2:$A$38)/NETWORKDAYS($D55,$E55,Libur!$A$2:$A$38),0)</f>
        <v>0</v>
      </c>
      <c r="S55" s="53">
        <f>IF(AND($D55&lt;=S$17,$E55&gt;=S$16),$C55*NETWORKDAYS(MAX($D55,S$16),MIN($E55,S$17),Libur!$A$2:$A$38)/NETWORKDAYS($D55,$E55,Libur!$A$2:$A$38),0)</f>
        <v>0</v>
      </c>
      <c r="T55" s="53">
        <f>IF(AND($D55&lt;=T$17,$E55&gt;=T$16),$C55*NETWORKDAYS(MAX($D55,T$16),MIN($E55,T$17),Libur!$A$2:$A$38)/NETWORKDAYS($D55,$E55,Libur!$A$2:$A$38),0)</f>
        <v>0</v>
      </c>
      <c r="U55" s="53">
        <f>IF(AND($D55&lt;=U$17,$E55&gt;=U$16),$C55*NETWORKDAYS(MAX($D55,U$16),MIN($E55,U$17),Libur!$A$2:$A$38)/NETWORKDAYS($D55,$E55,Libur!$A$2:$A$38),0)</f>
        <v>0</v>
      </c>
      <c r="V55" s="53">
        <f>IF(AND($D55&lt;=V$17,$E55&gt;=V$16),$C55*NETWORKDAYS(MAX($D55,V$16),MIN($E55,V$17),Libur!$A$2:$A$38)/NETWORKDAYS($D55,$E55,Libur!$A$2:$A$38),0)</f>
        <v>0</v>
      </c>
      <c r="W55" s="53">
        <f>IF(AND($D55&lt;=W$17,$E55&gt;=W$16),$C55*NETWORKDAYS(MAX($D55,W$16),MIN($E55,W$17),Libur!$A$2:$A$38)/NETWORKDAYS($D55,$E55,Libur!$A$2:$A$38),0)</f>
        <v>0</v>
      </c>
      <c r="X55" s="53">
        <f>IF(AND($D55&lt;=X$17,$E55&gt;=X$16),$C55*NETWORKDAYS(MAX($D55,X$16),MIN($E55,X$17),Libur!$A$2:$A$38)/NETWORKDAYS($D55,$E55,Libur!$A$2:$A$38),0)</f>
        <v>0</v>
      </c>
      <c r="Y55" s="53">
        <f>IF(AND($D55&lt;=Y$17,$E55&gt;=Y$16),$C55*NETWORKDAYS(MAX($D55,Y$16),MIN($E55,Y$17),Libur!$A$2:$A$38)/NETWORKDAYS($D55,$E55,Libur!$A$2:$A$38),0)</f>
        <v>0</v>
      </c>
      <c r="Z55" s="53">
        <f>IF(AND($D55&lt;=Z$17,$E55&gt;=Z$16),$C55*NETWORKDAYS(MAX($D55,Z$16),MIN($E55,Z$17),Libur!$A$2:$A$38)/NETWORKDAYS($D55,$E55,Libur!$A$2:$A$38),0)</f>
        <v>0</v>
      </c>
      <c r="AA55" s="53">
        <f>IF(AND($D55&lt;=AA$17,$E55&gt;=AA$16),$C55*NETWORKDAYS(MAX($D55,AA$16),MIN($E55,AA$17),Libur!$A$2:$A$38)/NETWORKDAYS($D55,$E55,Libur!$A$2:$A$38),0)</f>
        <v>0</v>
      </c>
      <c r="AB55" s="53">
        <f>IF(AND($D55&lt;=AB$17,$E55&gt;=AB$16),$C55*NETWORKDAYS(MAX($D55,AB$16),MIN($E55,AB$17),Libur!$A$2:$A$38)/NETWORKDAYS($D55,$E55,Libur!$A$2:$A$38),0)</f>
        <v>0</v>
      </c>
      <c r="AC55" s="53">
        <f>IF(AND($D55&lt;=AC$17,$E55&gt;=AC$16),$C55*NETWORKDAYS(MAX($D55,AC$16),MIN($E55,AC$17),Libur!$A$2:$A$38)/NETWORKDAYS($D55,$E55,Libur!$A$2:$A$38),0)</f>
        <v>0</v>
      </c>
      <c r="AD55" s="53">
        <f>IF(AND($D55&lt;=AD$17,$E55&gt;=AD$16),$C55*NETWORKDAYS(MAX($D55,AD$16),MIN($E55,AD$17),Libur!$A$2:$A$38)/NETWORKDAYS($D55,$E55,Libur!$A$2:$A$38),0)</f>
        <v>0</v>
      </c>
      <c r="AE55" s="53">
        <f>IF(AND($D55&lt;=AE$17,$E55&gt;=AE$16),$C55*NETWORKDAYS(MAX($D55,AE$16),MIN($E55,AE$17),Libur!$A$2:$A$38)/NETWORKDAYS($D55,$E55,Libur!$A$2:$A$38),0)</f>
        <v>0</v>
      </c>
      <c r="AF55" s="53">
        <f>IF(AND($D55&lt;=AF$17,$E55&gt;=AF$16),$C55*NETWORKDAYS(MAX($D55,AF$16),MIN($E55,AF$17),Libur!$A$2:$A$38)/NETWORKDAYS($D55,$E55,Libur!$A$2:$A$38),0)</f>
        <v>0</v>
      </c>
      <c r="AG55" s="53">
        <f>IF(AND($D55&lt;=AG$17,$E55&gt;=AG$16),$C55*NETWORKDAYS(MAX($D55,AG$16),MIN($E55,AG$17),Libur!$A$2:$A$38)/NETWORKDAYS($D55,$E55,Libur!$A$2:$A$38),0)</f>
        <v>0</v>
      </c>
      <c r="AH55" s="53">
        <f>IF(AND($D55&lt;=AH$17,$E55&gt;=AH$16),$C55*NETWORKDAYS(MAX($D55,AH$16),MIN($E55,AH$17),Libur!$A$2:$A$38)/NETWORKDAYS($D55,$E55,Libur!$A$2:$A$38),0)</f>
        <v>0</v>
      </c>
      <c r="AI55" s="53">
        <f>IF(AND($D55&lt;=AI$17,$E55&gt;=AI$16),$C55*NETWORKDAYS(MAX($D55,AI$16),MIN($E55,AI$17),Libur!$A$2:$A$38)/NETWORKDAYS($D55,$E55,Libur!$A$2:$A$38),0)</f>
        <v>0</v>
      </c>
      <c r="AJ55" s="53">
        <f>IF(AND($D55&lt;=AJ$17,$E55&gt;=AJ$16),$C55*NETWORKDAYS(MAX($D55,AJ$16),MIN($E55,AJ$17),Libur!$A$2:$A$38)/NETWORKDAYS($D55,$E55,Libur!$A$2:$A$38),0)</f>
        <v>0</v>
      </c>
      <c r="AK55" s="53">
        <f>IF(AND($D55&lt;=AK$17,$E55&gt;=AK$16),$C55*NETWORKDAYS(MAX($D55,AK$16),MIN($E55,AK$17),Libur!$A$2:$A$38)/NETWORKDAYS($D55,$E55,Libur!$A$2:$A$38),0)</f>
        <v>0</v>
      </c>
      <c r="AL55" s="53">
        <f>IF(AND($D55&lt;=AL$17,$E55&gt;=AL$16),$C55*NETWORKDAYS(MAX($D55,AL$16),MIN($E55,AL$17),Libur!$A$2:$A$38)/NETWORKDAYS($D55,$E55,Libur!$A$2:$A$38),0)</f>
        <v>0</v>
      </c>
      <c r="AM55" s="53">
        <f>IF(AND($D55&lt;=AM$17,$E55&gt;=AM$16),$C55*NETWORKDAYS(MAX($D55,AM$16),MIN($E55,AM$17),Libur!$A$2:$A$38)/NETWORKDAYS($D55,$E55,Libur!$A$2:$A$38),0)</f>
        <v>0</v>
      </c>
      <c r="AN55" s="53">
        <f>IF(AND($D55&lt;=AN$17,$E55&gt;=AN$16),$C55*NETWORKDAYS(MAX($D55,AN$16),MIN($E55,AN$17),Libur!$A$2:$A$38)/NETWORKDAYS($D55,$E55,Libur!$A$2:$A$38),0)</f>
        <v>0</v>
      </c>
      <c r="AO55" s="53">
        <f>IF(AND($D55&lt;=AO$17,$E55&gt;=AO$16),$C55*NETWORKDAYS(MAX($D55,AO$16),MIN($E55,AO$17),Libur!$A$2:$A$38)/NETWORKDAYS($D55,$E55,Libur!$A$2:$A$38),0)</f>
        <v>0</v>
      </c>
      <c r="AP55" s="53">
        <f>IF(AND($D55&lt;=AP$17,$E55&gt;=AP$16),$C55*NETWORKDAYS(MAX($D55,AP$16),MIN($E55,AP$17),Libur!$A$2:$A$38)/NETWORKDAYS($D55,$E55,Libur!$A$2:$A$38),0)</f>
        <v>0</v>
      </c>
      <c r="AQ55" s="53">
        <f>IF(AND($D55&lt;=AQ$17,$E55&gt;=AQ$16),$C55*NETWORKDAYS(MAX($D55,AQ$16),MIN($E55,AQ$17),Libur!$A$2:$A$38)/NETWORKDAYS($D55,$E55,Libur!$A$2:$A$38),0)</f>
        <v>0</v>
      </c>
      <c r="AR55" s="53">
        <f>IF(AND($D55&lt;=AR$17,$E55&gt;=AR$16),$C55*NETWORKDAYS(MAX($D55,AR$16),MIN($E55,AR$17),Libur!$A$2:$A$38)/NETWORKDAYS($D55,$E55,Libur!$A$2:$A$38),0)</f>
        <v>0</v>
      </c>
      <c r="AS55" s="53">
        <f>IF(AND($D55&lt;=AS$17,$E55&gt;=AS$16),$C55*NETWORKDAYS(MAX($D55,AS$16),MIN($E55,AS$17),Libur!$A$2:$A$38)/NETWORKDAYS($D55,$E55,Libur!$A$2:$A$38),0)</f>
        <v>0</v>
      </c>
      <c r="AT55" s="53">
        <f>IF(AND($D55&lt;=AT$17,$E55&gt;=AT$16),$C55*NETWORKDAYS(MAX($D55,AT$16),MIN($E55,AT$17),Libur!$A$2:$A$38)/NETWORKDAYS($D55,$E55,Libur!$A$2:$A$38),0)</f>
        <v>0</v>
      </c>
      <c r="AU55" s="53">
        <f>IF(AND($D55&lt;=AU$17,$E55&gt;=AU$16),$C55*NETWORKDAYS(MAX($D55,AU$16),MIN($E55,AU$17),Libur!$A$2:$A$38)/NETWORKDAYS($D55,$E55,Libur!$A$2:$A$38),0)</f>
        <v>0</v>
      </c>
      <c r="AV55" s="53">
        <f>IF(AND($D55&lt;=AV$17,$E55&gt;=AV$16),$C55*NETWORKDAYS(MAX($D55,AV$16),MIN($E55,AV$17),Libur!$A$2:$A$38)/NETWORKDAYS($D55,$E55,Libur!$A$2:$A$38),0)</f>
        <v>0</v>
      </c>
      <c r="AW55" s="53">
        <f>IF(AND($D55&lt;=AW$17,$E55&gt;=AW$16),$C55*NETWORKDAYS(MAX($D55,AW$16),MIN($E55,AW$17),Libur!$A$2:$A$38)/NETWORKDAYS($D55,$E55,Libur!$A$2:$A$38),0)</f>
        <v>0</v>
      </c>
      <c r="AX55" s="53">
        <f>IF(AND($D55&lt;=AX$17,$E55&gt;=AX$16),$C55*NETWORKDAYS(MAX($D55,AX$16),MIN($E55,AX$17),Libur!$A$2:$A$38)/NETWORKDAYS($D55,$E55,Libur!$A$2:$A$38),0)</f>
        <v>0</v>
      </c>
      <c r="AY55" s="53">
        <f>IF(AND($D55&lt;=AY$17,$E55&gt;=AY$16),$C55*NETWORKDAYS(MAX($D55,AY$16),MIN($E55,AY$17),Libur!$A$2:$A$38)/NETWORKDAYS($D55,$E55,Libur!$A$2:$A$38),0)</f>
        <v>0</v>
      </c>
      <c r="AZ55" s="53">
        <f>IF(AND($D55&lt;=AZ$17,$E55&gt;=AZ$16),$C55*NETWORKDAYS(MAX($D55,AZ$16),MIN($E55,AZ$17),Libur!$A$2:$A$38)/NETWORKDAYS($D55,$E55,Libur!$A$2:$A$38),0)</f>
        <v>0</v>
      </c>
      <c r="BA55" s="53">
        <f>IF(AND($D55&lt;=BA$17,$E55&gt;=BA$16),$C55*NETWORKDAYS(MAX($D55,BA$16),MIN($E55,BA$17),Libur!$A$2:$A$38)/NETWORKDAYS($D55,$E55,Libur!$A$2:$A$38),0)</f>
        <v>0</v>
      </c>
      <c r="BB55" s="53">
        <f>IF(AND($D55&lt;=BB$17,$E55&gt;=BB$16),$C55*NETWORKDAYS(MAX($D55,BB$16),MIN($E55,BB$17),Libur!$A$2:$A$38)/NETWORKDAYS($D55,$E55,Libur!$A$2:$A$38),0)</f>
        <v>0</v>
      </c>
      <c r="BC55" s="53">
        <f>IF(AND($D55&lt;=BC$17,$E55&gt;=BC$16),$C55*NETWORKDAYS(MAX($D55,BC$16),MIN($E55,BC$17),Libur!$A$2:$A$38)/NETWORKDAYS($D55,$E55,Libur!$A$2:$A$38),0)</f>
        <v>0</v>
      </c>
      <c r="BD55" s="53">
        <f>IF(AND($D55&lt;=BD$17,$E55&gt;=BD$16),$C55*NETWORKDAYS(MAX($D55,BD$16),MIN($E55,BD$17),Libur!$A$2:$A$38)/NETWORKDAYS($D55,$E55,Libur!$A$2:$A$38),0)</f>
        <v>0</v>
      </c>
      <c r="BE55" s="53">
        <f>IF(AND($D55&lt;=BE$17,$E55&gt;=BE$16),$C55*NETWORKDAYS(MAX($D55,BE$16),MIN($E55,BE$17),Libur!$A$2:$A$38)/NETWORKDAYS($D55,$E55,Libur!$A$2:$A$38),0)</f>
        <v>0</v>
      </c>
      <c r="BF55" s="53">
        <f>IF(AND($D55&lt;=BF$17,$E55&gt;=BF$16),$C55*NETWORKDAYS(MAX($D55,BF$16),MIN($E55,BF$17),Libur!$A$2:$A$38)/NETWORKDAYS($D55,$E55,Libur!$A$2:$A$38),0)</f>
        <v>0</v>
      </c>
      <c r="BG55" s="53">
        <f>IF(AND($D55&lt;=BG$17,$E55&gt;=BG$16),$C55*NETWORKDAYS(MAX($D55,BG$16),MIN($E55,BG$17),Libur!$A$2:$A$38)/NETWORKDAYS($D55,$E55,Libur!$A$2:$A$38),0)</f>
        <v>0</v>
      </c>
      <c r="BH55" s="53">
        <f>IF(AND($D55&lt;=BH$17,$E55&gt;=BH$16),$C55*NETWORKDAYS(MAX($D55,BH$16),MIN($E55,BH$17),Libur!$A$2:$A$38)/NETWORKDAYS($D55,$E55,Libur!$A$2:$A$38),0)</f>
        <v>0</v>
      </c>
      <c r="BI55" s="53">
        <f>IF(AND($D55&lt;=BI$17,$E55&gt;=BI$16),$C55*NETWORKDAYS(MAX($D55,BI$16),MIN($E55,BI$17),Libur!$A$2:$A$38)/NETWORKDAYS($D55,$E55,Libur!$A$2:$A$38),0)</f>
        <v>0</v>
      </c>
      <c r="BJ55" s="53">
        <f>IF(AND($D55&lt;=BJ$17,$E55&gt;=BJ$16),$C55*NETWORKDAYS(MAX($D55,BJ$16),MIN($E55,BJ$17),Libur!$A$2:$A$38)/NETWORKDAYS($D55,$E55,Libur!$A$2:$A$38),0)</f>
        <v>0</v>
      </c>
      <c r="BK55" s="53">
        <f>IF(AND($D55&lt;=BK$17,$E55&gt;=BK$16),$C55*NETWORKDAYS(MAX($D55,BK$16),MIN($E55,BK$17),Libur!$A$2:$A$38)/NETWORKDAYS($D55,$E55,Libur!$A$2:$A$38),0)</f>
        <v>0</v>
      </c>
    </row>
    <row r="56" spans="1:63" s="9" customFormat="1" x14ac:dyDescent="0.25">
      <c r="A56" s="36" t="s">
        <v>105</v>
      </c>
      <c r="B56" s="9" t="s">
        <v>106</v>
      </c>
      <c r="C56" s="37">
        <f>SUM(C57:C59)</f>
        <v>0.06</v>
      </c>
      <c r="D56" s="56">
        <v>46255</v>
      </c>
      <c r="E56" s="56">
        <v>46261</v>
      </c>
      <c r="F56" s="48"/>
      <c r="G56" s="48"/>
      <c r="H56" s="40">
        <f>NETWORKDAYS(D56,E56,Libur!$A$2:$A$56)</f>
        <v>4</v>
      </c>
      <c r="I56" s="54">
        <f>IF($C$8&gt;E56,100/100,IF($C$8&lt;=D56,0,(NETWORKDAYS(D56,$C$8)/NETWORKDAYS(D56,E56))))</f>
        <v>0</v>
      </c>
      <c r="J56" s="54">
        <f>SUM(J57:J59)</f>
        <v>0</v>
      </c>
      <c r="K56" s="54">
        <f>SUM(K57:K59)</f>
        <v>0</v>
      </c>
      <c r="L56" s="54">
        <f>SUM(L57:L59)</f>
        <v>0</v>
      </c>
      <c r="M56" s="54">
        <f>SUM(M57:M59)</f>
        <v>0</v>
      </c>
      <c r="N56" s="51"/>
      <c r="O56" s="52"/>
      <c r="P56" s="53">
        <f>IF(AND($D56&lt;=P$17,$E56&gt;=P$16),$C56*NETWORKDAYS(MAX($D56,P$16),MIN($E56,P$17),Libur!$A$2:$A$38)/NETWORKDAYS($D56,$E56,Libur!$A$2:$A$38),0)</f>
        <v>0</v>
      </c>
      <c r="Q56" s="53">
        <f>IF(AND($D56&lt;=Q$17,$E56&gt;=Q$16),$C56*NETWORKDAYS(MAX($D56,Q$16),MIN($E56,Q$17),Libur!$A$2:$A$38)/NETWORKDAYS($D56,$E56,Libur!$A$2:$A$38),0)</f>
        <v>0</v>
      </c>
      <c r="R56" s="53">
        <f>IF(AND($D56&lt;=R$17,$E56&gt;=R$16),$C56*NETWORKDAYS(MAX($D56,R$16),MIN($E56,R$17),Libur!$A$2:$A$38)/NETWORKDAYS($D56,$E56,Libur!$A$2:$A$38),0)</f>
        <v>0</v>
      </c>
      <c r="S56" s="53">
        <f>IF(AND($D56&lt;=S$17,$E56&gt;=S$16),$C56*NETWORKDAYS(MAX($D56,S$16),MIN($E56,S$17),Libur!$A$2:$A$38)/NETWORKDAYS($D56,$E56,Libur!$A$2:$A$38),0)</f>
        <v>0</v>
      </c>
      <c r="T56" s="53">
        <f>IF(AND($D56&lt;=T$17,$E56&gt;=T$16),$C56*NETWORKDAYS(MAX($D56,T$16),MIN($E56,T$17),Libur!$A$2:$A$38)/NETWORKDAYS($D56,$E56,Libur!$A$2:$A$38),0)</f>
        <v>0</v>
      </c>
      <c r="U56" s="53">
        <f>IF(AND($D56&lt;=U$17,$E56&gt;=U$16),$C56*NETWORKDAYS(MAX($D56,U$16),MIN($E56,U$17),Libur!$A$2:$A$38)/NETWORKDAYS($D56,$E56,Libur!$A$2:$A$38),0)</f>
        <v>0</v>
      </c>
      <c r="V56" s="53">
        <f>IF(AND($D56&lt;=V$17,$E56&gt;=V$16),$C56*NETWORKDAYS(MAX($D56,V$16),MIN($E56,V$17),Libur!$A$2:$A$38)/NETWORKDAYS($D56,$E56,Libur!$A$2:$A$38),0)</f>
        <v>0</v>
      </c>
      <c r="W56" s="53">
        <f>IF(AND($D56&lt;=W$17,$E56&gt;=W$16),$C56*NETWORKDAYS(MAX($D56,W$16),MIN($E56,W$17),Libur!$A$2:$A$38)/NETWORKDAYS($D56,$E56,Libur!$A$2:$A$38),0)</f>
        <v>0</v>
      </c>
      <c r="X56" s="53">
        <f>IF(AND($D56&lt;=X$17,$E56&gt;=X$16),$C56*NETWORKDAYS(MAX($D56,X$16),MIN($E56,X$17),Libur!$A$2:$A$38)/NETWORKDAYS($D56,$E56,Libur!$A$2:$A$38),0)</f>
        <v>0</v>
      </c>
      <c r="Y56" s="53">
        <f>IF(AND($D56&lt;=Y$17,$E56&gt;=Y$16),$C56*NETWORKDAYS(MAX($D56,Y$16),MIN($E56,Y$17),Libur!$A$2:$A$38)/NETWORKDAYS($D56,$E56,Libur!$A$2:$A$38),0)</f>
        <v>0</v>
      </c>
      <c r="Z56" s="53">
        <f>IF(AND($D56&lt;=Z$17,$E56&gt;=Z$16),$C56*NETWORKDAYS(MAX($D56,Z$16),MIN($E56,Z$17),Libur!$A$2:$A$38)/NETWORKDAYS($D56,$E56,Libur!$A$2:$A$38),0)</f>
        <v>0</v>
      </c>
      <c r="AA56" s="53">
        <f>IF(AND($D56&lt;=AA$17,$E56&gt;=AA$16),$C56*NETWORKDAYS(MAX($D56,AA$16),MIN($E56,AA$17),Libur!$A$2:$A$38)/NETWORKDAYS($D56,$E56,Libur!$A$2:$A$38),0)</f>
        <v>0</v>
      </c>
      <c r="AB56" s="53">
        <f>IF(AND($D56&lt;=AB$17,$E56&gt;=AB$16),$C56*NETWORKDAYS(MAX($D56,AB$16),MIN($E56,AB$17),Libur!$A$2:$A$38)/NETWORKDAYS($D56,$E56,Libur!$A$2:$A$38),0)</f>
        <v>0</v>
      </c>
      <c r="AC56" s="53">
        <f>IF(AND($D56&lt;=AC$17,$E56&gt;=AC$16),$C56*NETWORKDAYS(MAX($D56,AC$16),MIN($E56,AC$17),Libur!$A$2:$A$38)/NETWORKDAYS($D56,$E56,Libur!$A$2:$A$38),0)</f>
        <v>0</v>
      </c>
      <c r="AD56" s="53">
        <f>IF(AND($D56&lt;=AD$17,$E56&gt;=AD$16),$C56*NETWORKDAYS(MAX($D56,AD$16),MIN($E56,AD$17),Libur!$A$2:$A$38)/NETWORKDAYS($D56,$E56,Libur!$A$2:$A$38),0)</f>
        <v>0</v>
      </c>
      <c r="AE56" s="53"/>
      <c r="AF56" s="53">
        <f>IF(AND($D56&lt;=AF$17,$E56&gt;=AF$16),$C56*NETWORKDAYS(MAX($D56,AF$16),MIN($E56,AF$17),Libur!$A$2:$A$38)/NETWORKDAYS($D56,$E56,Libur!$A$2:$A$38),0)</f>
        <v>4.8000000000000001E-2</v>
      </c>
      <c r="AG56" s="53">
        <f>IF(AND($D56&lt;=AG$17,$E56&gt;=AG$16),$C56*NETWORKDAYS(MAX($D56,AG$16),MIN($E56,AG$17),Libur!$A$2:$A$38)/NETWORKDAYS($D56,$E56,Libur!$A$2:$A$38),0)</f>
        <v>0</v>
      </c>
      <c r="AH56" s="53">
        <f>IF(AND($D56&lt;=AH$17,$E56&gt;=AH$16),$C56*NETWORKDAYS(MAX($D56,AH$16),MIN($E56,AH$17),Libur!$A$2:$A$38)/NETWORKDAYS($D56,$E56,Libur!$A$2:$A$38),0)</f>
        <v>0</v>
      </c>
      <c r="AI56" s="53">
        <f>IF(AND($D56&lt;=AI$17,$E56&gt;=AI$16),$C56*NETWORKDAYS(MAX($D56,AI$16),MIN($E56,AI$17),Libur!$A$2:$A$38)/NETWORKDAYS($D56,$E56,Libur!$A$2:$A$38),0)</f>
        <v>0</v>
      </c>
      <c r="AJ56" s="53">
        <f>IF(AND($D56&lt;=AJ$17,$E56&gt;=AJ$16),$C56*NETWORKDAYS(MAX($D56,AJ$16),MIN($E56,AJ$17),Libur!$A$2:$A$38)/NETWORKDAYS($D56,$E56,Libur!$A$2:$A$38),0)</f>
        <v>0</v>
      </c>
      <c r="AK56" s="53">
        <f>IF(AND($D56&lt;=AK$17,$E56&gt;=AK$16),$C56*NETWORKDAYS(MAX($D56,AK$16),MIN($E56,AK$17),Libur!$A$2:$A$38)/NETWORKDAYS($D56,$E56,Libur!$A$2:$A$38),0)</f>
        <v>0</v>
      </c>
      <c r="AL56" s="53">
        <f>IF(AND($D56&lt;=AL$17,$E56&gt;=AL$16),$C56*NETWORKDAYS(MAX($D56,AL$16),MIN($E56,AL$17),Libur!$A$2:$A$38)/NETWORKDAYS($D56,$E56,Libur!$A$2:$A$38),0)</f>
        <v>0</v>
      </c>
      <c r="AM56" s="53">
        <f>IF(AND($D56&lt;=AM$17,$E56&gt;=AM$16),$C56*NETWORKDAYS(MAX($D56,AM$16),MIN($E56,AM$17),Libur!$A$2:$A$38)/NETWORKDAYS($D56,$E56,Libur!$A$2:$A$38),0)</f>
        <v>0</v>
      </c>
      <c r="AN56" s="53">
        <f>IF(AND($D56&lt;=AN$17,$E56&gt;=AN$16),$C56*NETWORKDAYS(MAX($D56,AN$16),MIN($E56,AN$17),Libur!$A$2:$A$38)/NETWORKDAYS($D56,$E56,Libur!$A$2:$A$38),0)</f>
        <v>0</v>
      </c>
      <c r="AO56" s="53">
        <f>IF(AND($D56&lt;=AO$17,$E56&gt;=AO$16),$C56*NETWORKDAYS(MAX($D56,AO$16),MIN($E56,AO$17),Libur!$A$2:$A$38)/NETWORKDAYS($D56,$E56,Libur!$A$2:$A$38),0)</f>
        <v>0</v>
      </c>
      <c r="AP56" s="53">
        <f>IF(AND($D56&lt;=AP$17,$E56&gt;=AP$16),$C56*NETWORKDAYS(MAX($D56,AP$16),MIN($E56,AP$17),Libur!$A$2:$A$38)/NETWORKDAYS($D56,$E56,Libur!$A$2:$A$38),0)</f>
        <v>0</v>
      </c>
      <c r="AQ56" s="53">
        <f>IF(AND($D56&lt;=AQ$17,$E56&gt;=AQ$16),$C56*NETWORKDAYS(MAX($D56,AQ$16),MIN($E56,AQ$17),Libur!$A$2:$A$38)/NETWORKDAYS($D56,$E56,Libur!$A$2:$A$38),0)</f>
        <v>0</v>
      </c>
      <c r="AR56" s="53">
        <f>IF(AND($D56&lt;=AR$17,$E56&gt;=AR$16),$C56*NETWORKDAYS(MAX($D56,AR$16),MIN($E56,AR$17),Libur!$A$2:$A$38)/NETWORKDAYS($D56,$E56,Libur!$A$2:$A$38),0)</f>
        <v>0</v>
      </c>
      <c r="AS56" s="53">
        <f>IF(AND($D56&lt;=AS$17,$E56&gt;=AS$16),$C56*NETWORKDAYS(MAX($D56,AS$16),MIN($E56,AS$17),Libur!$A$2:$A$38)/NETWORKDAYS($D56,$E56,Libur!$A$2:$A$38),0)</f>
        <v>0</v>
      </c>
      <c r="AT56" s="53">
        <f>IF(AND($D56&lt;=AT$17,$E56&gt;=AT$16),$C56*NETWORKDAYS(MAX($D56,AT$16),MIN($E56,AT$17),Libur!$A$2:$A$38)/NETWORKDAYS($D56,$E56,Libur!$A$2:$A$38),0)</f>
        <v>0</v>
      </c>
      <c r="AU56" s="53">
        <f>IF(AND($D56&lt;=AU$17,$E56&gt;=AU$16),$C56*NETWORKDAYS(MAX($D56,AU$16),MIN($E56,AU$17),Libur!$A$2:$A$38)/NETWORKDAYS($D56,$E56,Libur!$A$2:$A$38),0)</f>
        <v>0</v>
      </c>
      <c r="AV56" s="53">
        <f>IF(AND($D56&lt;=AV$17,$E56&gt;=AV$16),$C56*NETWORKDAYS(MAX($D56,AV$16),MIN($E56,AV$17),Libur!$A$2:$A$38)/NETWORKDAYS($D56,$E56,Libur!$A$2:$A$38),0)</f>
        <v>0</v>
      </c>
      <c r="AW56" s="53">
        <f>IF(AND($D56&lt;=AW$17,$E56&gt;=AW$16),$C56*NETWORKDAYS(MAX($D56,AW$16),MIN($E56,AW$17),Libur!$A$2:$A$38)/NETWORKDAYS($D56,$E56,Libur!$A$2:$A$38),0)</f>
        <v>0</v>
      </c>
      <c r="AX56" s="53">
        <f>IF(AND($D56&lt;=AX$17,$E56&gt;=AX$16),$C56*NETWORKDAYS(MAX($D56,AX$16),MIN($E56,AX$17),Libur!$A$2:$A$38)/NETWORKDAYS($D56,$E56,Libur!$A$2:$A$38),0)</f>
        <v>0</v>
      </c>
      <c r="AY56" s="53">
        <f>IF(AND($D56&lt;=AY$17,$E56&gt;=AY$16),$C56*NETWORKDAYS(MAX($D56,AY$16),MIN($E56,AY$17),Libur!$A$2:$A$38)/NETWORKDAYS($D56,$E56,Libur!$A$2:$A$38),0)</f>
        <v>0</v>
      </c>
      <c r="AZ56" s="53">
        <f>IF(AND($D56&lt;=AZ$17,$E56&gt;=AZ$16),$C56*NETWORKDAYS(MAX($D56,AZ$16),MIN($E56,AZ$17),Libur!$A$2:$A$38)/NETWORKDAYS($D56,$E56,Libur!$A$2:$A$38),0)</f>
        <v>0</v>
      </c>
      <c r="BA56" s="53">
        <f>IF(AND($D56&lt;=BA$17,$E56&gt;=BA$16),$C56*NETWORKDAYS(MAX($D56,BA$16),MIN($E56,BA$17),Libur!$A$2:$A$38)/NETWORKDAYS($D56,$E56,Libur!$A$2:$A$38),0)</f>
        <v>0</v>
      </c>
      <c r="BB56" s="53">
        <f>IF(AND($D56&lt;=BB$17,$E56&gt;=BB$16),$C56*NETWORKDAYS(MAX($D56,BB$16),MIN($E56,BB$17),Libur!$A$2:$A$38)/NETWORKDAYS($D56,$E56,Libur!$A$2:$A$38),0)</f>
        <v>0</v>
      </c>
      <c r="BC56" s="53">
        <f>IF(AND($D56&lt;=BC$17,$E56&gt;=BC$16),$C56*NETWORKDAYS(MAX($D56,BC$16),MIN($E56,BC$17),Libur!$A$2:$A$38)/NETWORKDAYS($D56,$E56,Libur!$A$2:$A$38),0)</f>
        <v>0</v>
      </c>
      <c r="BD56" s="53">
        <f>IF(AND($D56&lt;=BD$17,$E56&gt;=BD$16),$C56*NETWORKDAYS(MAX($D56,BD$16),MIN($E56,BD$17),Libur!$A$2:$A$38)/NETWORKDAYS($D56,$E56,Libur!$A$2:$A$38),0)</f>
        <v>0</v>
      </c>
      <c r="BE56" s="53">
        <f>IF(AND($D56&lt;=BE$17,$E56&gt;=BE$16),$C56*NETWORKDAYS(MAX($D56,BE$16),MIN($E56,BE$17),Libur!$A$2:$A$38)/NETWORKDAYS($D56,$E56,Libur!$A$2:$A$38),0)</f>
        <v>0</v>
      </c>
      <c r="BF56" s="53">
        <f>IF(AND($D56&lt;=BF$17,$E56&gt;=BF$16),$C56*NETWORKDAYS(MAX($D56,BF$16),MIN($E56,BF$17),Libur!$A$2:$A$38)/NETWORKDAYS($D56,$E56,Libur!$A$2:$A$38),0)</f>
        <v>0</v>
      </c>
      <c r="BG56" s="53">
        <f>IF(AND($D56&lt;=BG$17,$E56&gt;=BG$16),$C56*NETWORKDAYS(MAX($D56,BG$16),MIN($E56,BG$17),Libur!$A$2:$A$38)/NETWORKDAYS($D56,$E56,Libur!$A$2:$A$38),0)</f>
        <v>0</v>
      </c>
      <c r="BH56" s="53">
        <f>IF(AND($D56&lt;=BH$17,$E56&gt;=BH$16),$C56*NETWORKDAYS(MAX($D56,BH$16),MIN($E56,BH$17),Libur!$A$2:$A$38)/NETWORKDAYS($D56,$E56,Libur!$A$2:$A$38),0)</f>
        <v>0</v>
      </c>
      <c r="BI56" s="53">
        <f>IF(AND($D56&lt;=BI$17,$E56&gt;=BI$16),$C56*NETWORKDAYS(MAX($D56,BI$16),MIN($E56,BI$17),Libur!$A$2:$A$38)/NETWORKDAYS($D56,$E56,Libur!$A$2:$A$38),0)</f>
        <v>0</v>
      </c>
      <c r="BJ56" s="53">
        <f>IF(AND($D56&lt;=BJ$17,$E56&gt;=BJ$16),$C56*NETWORKDAYS(MAX($D56,BJ$16),MIN($E56,BJ$17),Libur!$A$2:$A$38)/NETWORKDAYS($D56,$E56,Libur!$A$2:$A$38),0)</f>
        <v>0</v>
      </c>
      <c r="BK56" s="53">
        <f>IF(AND($D56&lt;=BK$17,$E56&gt;=BK$16),$C56*NETWORKDAYS(MAX($D56,BK$16),MIN($E56,BK$17),Libur!$A$2:$A$38)/NETWORKDAYS($D56,$E56,Libur!$A$2:$A$38),0)</f>
        <v>0</v>
      </c>
    </row>
    <row r="57" spans="1:63" x14ac:dyDescent="0.25">
      <c r="A57" s="45"/>
      <c r="B57" s="46" t="s">
        <v>107</v>
      </c>
      <c r="C57" s="48">
        <v>0.03</v>
      </c>
      <c r="D57" s="47">
        <v>46255</v>
      </c>
      <c r="E57" s="47">
        <v>46258</v>
      </c>
      <c r="F57" s="7">
        <f>C57</f>
        <v>0.03</v>
      </c>
      <c r="G57" s="48">
        <f>SUM(P57:AZ57)</f>
        <v>0.03</v>
      </c>
      <c r="H57" s="49">
        <f>NETWORKDAYS(D57,E57,Libur!$A$2:$A$56)</f>
        <v>2</v>
      </c>
      <c r="I57" s="48">
        <f>IF($C$8&gt;E57,100/100,IF($C$8&lt;=D57,0,(NETWORKDAYS(D57,$C$8)/NETWORKDAYS(D57,E57))))</f>
        <v>0</v>
      </c>
      <c r="J57" s="48">
        <f>I57*F57</f>
        <v>0</v>
      </c>
      <c r="K57" s="48">
        <v>0</v>
      </c>
      <c r="L57" s="48">
        <f>C57*K57</f>
        <v>0</v>
      </c>
      <c r="M57" s="48">
        <f>L57-J57</f>
        <v>0</v>
      </c>
      <c r="N57" s="51">
        <f>C57</f>
        <v>0.03</v>
      </c>
      <c r="O57" s="52">
        <f>SUM(P57:BK57)</f>
        <v>0.03</v>
      </c>
      <c r="P57" s="53">
        <f>IF(AND($D57&lt;=P$17,$E57&gt;=P$16),$C57*NETWORKDAYS(MAX($D57,P$16),MIN($E57,P$17),Libur!$A$2:$A$38)/NETWORKDAYS($D57,$E57,Libur!$A$2:$A$38),0)</f>
        <v>0</v>
      </c>
      <c r="Q57" s="53">
        <f>IF(AND($D57&lt;=Q$17,$E57&gt;=Q$16),$C57*NETWORKDAYS(MAX($D57,Q$16),MIN($E57,Q$17),Libur!$A$2:$A$38)/NETWORKDAYS($D57,$E57,Libur!$A$2:$A$38),0)</f>
        <v>0</v>
      </c>
      <c r="R57" s="53">
        <f>IF(AND($D57&lt;=R$17,$E57&gt;=R$16),$C57*NETWORKDAYS(MAX($D57,R$16),MIN($E57,R$17),Libur!$A$2:$A$38)/NETWORKDAYS($D57,$E57,Libur!$A$2:$A$38),0)</f>
        <v>0</v>
      </c>
      <c r="S57" s="53">
        <f>IF(AND($D57&lt;=S$17,$E57&gt;=S$16),$C57*NETWORKDAYS(MAX($D57,S$16),MIN($E57,S$17),Libur!$A$2:$A$38)/NETWORKDAYS($D57,$E57,Libur!$A$2:$A$38),0)</f>
        <v>0</v>
      </c>
      <c r="T57" s="53">
        <f>IF(AND($D57&lt;=T$17,$E57&gt;=T$16),$C57*NETWORKDAYS(MAX($D57,T$16),MIN($E57,T$17),Libur!$A$2:$A$38)/NETWORKDAYS($D57,$E57,Libur!$A$2:$A$38),0)</f>
        <v>0</v>
      </c>
      <c r="U57" s="53">
        <f>IF(AND($D57&lt;=U$17,$E57&gt;=U$16),$C57*NETWORKDAYS(MAX($D57,U$16),MIN($E57,U$17),Libur!$A$2:$A$38)/NETWORKDAYS($D57,$E57,Libur!$A$2:$A$38),0)</f>
        <v>0</v>
      </c>
      <c r="V57" s="53">
        <f>IF(AND($D57&lt;=V$17,$E57&gt;=V$16),$C57*NETWORKDAYS(MAX($D57,V$16),MIN($E57,V$17),Libur!$A$2:$A$38)/NETWORKDAYS($D57,$E57,Libur!$A$2:$A$38),0)</f>
        <v>0</v>
      </c>
      <c r="W57" s="53">
        <f>IF(AND($D57&lt;=W$17,$E57&gt;=W$16),$C57*NETWORKDAYS(MAX($D57,W$16),MIN($E57,W$17),Libur!$A$2:$A$38)/NETWORKDAYS($D57,$E57,Libur!$A$2:$A$38),0)</f>
        <v>0</v>
      </c>
      <c r="X57" s="53">
        <f>IF(AND($D57&lt;=X$17,$E57&gt;=X$16),$C57*NETWORKDAYS(MAX($D57,X$16),MIN($E57,X$17),Libur!$A$2:$A$38)/NETWORKDAYS($D57,$E57,Libur!$A$2:$A$38),0)</f>
        <v>0</v>
      </c>
      <c r="Y57" s="53">
        <f>IF(AND($D57&lt;=Y$17,$E57&gt;=Y$16),$C57*NETWORKDAYS(MAX($D57,Y$16),MIN($E57,Y$17),Libur!$A$2:$A$38)/NETWORKDAYS($D57,$E57,Libur!$A$2:$A$38),0)</f>
        <v>0</v>
      </c>
      <c r="Z57" s="53">
        <f>IF(AND($D57&lt;=Z$17,$E57&gt;=Z$16),$C57*NETWORKDAYS(MAX($D57,Z$16),MIN($E57,Z$17),Libur!$A$2:$A$38)/NETWORKDAYS($D57,$E57,Libur!$A$2:$A$38),0)</f>
        <v>0</v>
      </c>
      <c r="AA57" s="53">
        <f>IF(AND($D57&lt;=AA$17,$E57&gt;=AA$16),$C57*NETWORKDAYS(MAX($D57,AA$16),MIN($E57,AA$17),Libur!$A$2:$A$38)/NETWORKDAYS($D57,$E57,Libur!$A$2:$A$38),0)</f>
        <v>0</v>
      </c>
      <c r="AB57" s="53">
        <f>IF(AND($D57&lt;=AB$17,$E57&gt;=AB$16),$C57*NETWORKDAYS(MAX($D57,AB$16),MIN($E57,AB$17),Libur!$A$2:$A$38)/NETWORKDAYS($D57,$E57,Libur!$A$2:$A$38),0)</f>
        <v>0</v>
      </c>
      <c r="AC57" s="53">
        <f>IF(AND($D57&lt;=AC$17,$E57&gt;=AC$16),$C57*NETWORKDAYS(MAX($D57,AC$16),MIN($E57,AC$17),Libur!$A$2:$A$38)/NETWORKDAYS($D57,$E57,Libur!$A$2:$A$38),0)</f>
        <v>0</v>
      </c>
      <c r="AD57" s="53">
        <f>IF(AND($D57&lt;=AD$17,$E57&gt;=AD$16),$C57*NETWORKDAYS(MAX($D57,AD$16),MIN($E57,AD$17),Libur!$A$2:$A$38)/NETWORKDAYS($D57,$E57,Libur!$A$2:$A$38),0)</f>
        <v>0</v>
      </c>
      <c r="AE57" s="53">
        <f>IF(AND($D57&lt;=AE$17,$E57&gt;=AE$16),$C57*NETWORKDAYS(MAX($D57,AE$16),MIN($E57,AE$17),Libur!$A$2:$A$38)/NETWORKDAYS($D57,$E57,Libur!$A$2:$A$38),0)</f>
        <v>1.4999999999999999E-2</v>
      </c>
      <c r="AF57" s="53">
        <f>IF(AND($D57&lt;=AF$17,$E57&gt;=AF$16),$C57*NETWORKDAYS(MAX($D57,AF$16),MIN($E57,AF$17),Libur!$A$2:$A$38)/NETWORKDAYS($D57,$E57,Libur!$A$2:$A$38),0)</f>
        <v>1.4999999999999999E-2</v>
      </c>
      <c r="AG57" s="53">
        <f>IF(AND($D57&lt;=AG$17,$E57&gt;=AG$16),$C57*NETWORKDAYS(MAX($D57,AG$16),MIN($E57,AG$17),Libur!$A$2:$A$38)/NETWORKDAYS($D57,$E57,Libur!$A$2:$A$38),0)</f>
        <v>0</v>
      </c>
      <c r="AH57" s="53">
        <f>IF(AND($D57&lt;=AH$17,$E57&gt;=AH$16),$C57*NETWORKDAYS(MAX($D57,AH$16),MIN($E57,AH$17),Libur!$A$2:$A$38)/NETWORKDAYS($D57,$E57,Libur!$A$2:$A$38),0)</f>
        <v>0</v>
      </c>
      <c r="AI57" s="53">
        <f>IF(AND($D57&lt;=AI$17,$E57&gt;=AI$16),$C57*NETWORKDAYS(MAX($D57,AI$16),MIN($E57,AI$17),Libur!$A$2:$A$38)/NETWORKDAYS($D57,$E57,Libur!$A$2:$A$38),0)</f>
        <v>0</v>
      </c>
      <c r="AJ57" s="53">
        <f>IF(AND($D57&lt;=AJ$17,$E57&gt;=AJ$16),$C57*NETWORKDAYS(MAX($D57,AJ$16),MIN($E57,AJ$17),Libur!$A$2:$A$38)/NETWORKDAYS($D57,$E57,Libur!$A$2:$A$38),0)</f>
        <v>0</v>
      </c>
      <c r="AK57" s="53">
        <f>IF(AND($D57&lt;=AK$17,$E57&gt;=AK$16),$C57*NETWORKDAYS(MAX($D57,AK$16),MIN($E57,AK$17),Libur!$A$2:$A$38)/NETWORKDAYS($D57,$E57,Libur!$A$2:$A$38),0)</f>
        <v>0</v>
      </c>
      <c r="AL57" s="53">
        <f>IF(AND($D57&lt;=AL$17,$E57&gt;=AL$16),$C57*NETWORKDAYS(MAX($D57,AL$16),MIN($E57,AL$17),Libur!$A$2:$A$38)/NETWORKDAYS($D57,$E57,Libur!$A$2:$A$38),0)</f>
        <v>0</v>
      </c>
      <c r="AM57" s="53">
        <f>IF(AND($D57&lt;=AM$17,$E57&gt;=AM$16),$C57*NETWORKDAYS(MAX($D57,AM$16),MIN($E57,AM$17),Libur!$A$2:$A$38)/NETWORKDAYS($D57,$E57,Libur!$A$2:$A$38),0)</f>
        <v>0</v>
      </c>
      <c r="AN57" s="53">
        <f>IF(AND($D57&lt;=AN$17,$E57&gt;=AN$16),$C57*NETWORKDAYS(MAX($D57,AN$16),MIN($E57,AN$17),Libur!$A$2:$A$38)/NETWORKDAYS($D57,$E57,Libur!$A$2:$A$38),0)</f>
        <v>0</v>
      </c>
      <c r="AO57" s="53">
        <f>IF(AND($D57&lt;=AO$17,$E57&gt;=AO$16),$C57*NETWORKDAYS(MAX($D57,AO$16),MIN($E57,AO$17),Libur!$A$2:$A$38)/NETWORKDAYS($D57,$E57,Libur!$A$2:$A$38),0)</f>
        <v>0</v>
      </c>
      <c r="AP57" s="53">
        <f>IF(AND($D57&lt;=AP$17,$E57&gt;=AP$16),$C57*NETWORKDAYS(MAX($D57,AP$16),MIN($E57,AP$17),Libur!$A$2:$A$38)/NETWORKDAYS($D57,$E57,Libur!$A$2:$A$38),0)</f>
        <v>0</v>
      </c>
      <c r="AQ57" s="53">
        <f>IF(AND($D57&lt;=AQ$17,$E57&gt;=AQ$16),$C57*NETWORKDAYS(MAX($D57,AQ$16),MIN($E57,AQ$17),Libur!$A$2:$A$38)/NETWORKDAYS($D57,$E57,Libur!$A$2:$A$38),0)</f>
        <v>0</v>
      </c>
      <c r="AR57" s="53">
        <f>IF(AND($D57&lt;=AR$17,$E57&gt;=AR$16),$C57*NETWORKDAYS(MAX($D57,AR$16),MIN($E57,AR$17),Libur!$A$2:$A$38)/NETWORKDAYS($D57,$E57,Libur!$A$2:$A$38),0)</f>
        <v>0</v>
      </c>
      <c r="AS57" s="53">
        <f>IF(AND($D57&lt;=AS$17,$E57&gt;=AS$16),$C57*NETWORKDAYS(MAX($D57,AS$16),MIN($E57,AS$17),Libur!$A$2:$A$38)/NETWORKDAYS($D57,$E57,Libur!$A$2:$A$38),0)</f>
        <v>0</v>
      </c>
      <c r="AT57" s="53">
        <f>IF(AND($D57&lt;=AT$17,$E57&gt;=AT$16),$C57*NETWORKDAYS(MAX($D57,AT$16),MIN($E57,AT$17),Libur!$A$2:$A$38)/NETWORKDAYS($D57,$E57,Libur!$A$2:$A$38),0)</f>
        <v>0</v>
      </c>
      <c r="AU57" s="53">
        <f>IF(AND($D57&lt;=AU$17,$E57&gt;=AU$16),$C57*NETWORKDAYS(MAX($D57,AU$16),MIN($E57,AU$17),Libur!$A$2:$A$38)/NETWORKDAYS($D57,$E57,Libur!$A$2:$A$38),0)</f>
        <v>0</v>
      </c>
      <c r="AV57" s="53">
        <f>IF(AND($D57&lt;=AV$17,$E57&gt;=AV$16),$C57*NETWORKDAYS(MAX($D57,AV$16),MIN($E57,AV$17),Libur!$A$2:$A$38)/NETWORKDAYS($D57,$E57,Libur!$A$2:$A$38),0)</f>
        <v>0</v>
      </c>
      <c r="AW57" s="53">
        <f>IF(AND($D57&lt;=AW$17,$E57&gt;=AW$16),$C57*NETWORKDAYS(MAX($D57,AW$16),MIN($E57,AW$17),Libur!$A$2:$A$38)/NETWORKDAYS($D57,$E57,Libur!$A$2:$A$38),0)</f>
        <v>0</v>
      </c>
      <c r="AX57" s="53">
        <f>IF(AND($D57&lt;=AX$17,$E57&gt;=AX$16),$C57*NETWORKDAYS(MAX($D57,AX$16),MIN($E57,AX$17),Libur!$A$2:$A$38)/NETWORKDAYS($D57,$E57,Libur!$A$2:$A$38),0)</f>
        <v>0</v>
      </c>
      <c r="AY57" s="53">
        <f>IF(AND($D57&lt;=AY$17,$E57&gt;=AY$16),$C57*NETWORKDAYS(MAX($D57,AY$16),MIN($E57,AY$17),Libur!$A$2:$A$38)/NETWORKDAYS($D57,$E57,Libur!$A$2:$A$38),0)</f>
        <v>0</v>
      </c>
      <c r="AZ57" s="53">
        <f>IF(AND($D57&lt;=AZ$17,$E57&gt;=AZ$16),$C57*NETWORKDAYS(MAX($D57,AZ$16),MIN($E57,AZ$17),Libur!$A$2:$A$38)/NETWORKDAYS($D57,$E57,Libur!$A$2:$A$38),0)</f>
        <v>0</v>
      </c>
      <c r="BA57" s="53">
        <f>IF(AND($D57&lt;=BA$17,$E57&gt;=BA$16),$C57*NETWORKDAYS(MAX($D57,BA$16),MIN($E57,BA$17),Libur!$A$2:$A$38)/NETWORKDAYS($D57,$E57,Libur!$A$2:$A$38),0)</f>
        <v>0</v>
      </c>
      <c r="BB57" s="53">
        <f>IF(AND($D57&lt;=BB$17,$E57&gt;=BB$16),$C57*NETWORKDAYS(MAX($D57,BB$16),MIN($E57,BB$17),Libur!$A$2:$A$38)/NETWORKDAYS($D57,$E57,Libur!$A$2:$A$38),0)</f>
        <v>0</v>
      </c>
      <c r="BC57" s="53">
        <f>IF(AND($D57&lt;=BC$17,$E57&gt;=BC$16),$C57*NETWORKDAYS(MAX($D57,BC$16),MIN($E57,BC$17),Libur!$A$2:$A$38)/NETWORKDAYS($D57,$E57,Libur!$A$2:$A$38),0)</f>
        <v>0</v>
      </c>
      <c r="BD57" s="53">
        <f>IF(AND($D57&lt;=BD$17,$E57&gt;=BD$16),$C57*NETWORKDAYS(MAX($D57,BD$16),MIN($E57,BD$17),Libur!$A$2:$A$38)/NETWORKDAYS($D57,$E57,Libur!$A$2:$A$38),0)</f>
        <v>0</v>
      </c>
      <c r="BE57" s="53">
        <f>IF(AND($D57&lt;=BE$17,$E57&gt;=BE$16),$C57*NETWORKDAYS(MAX($D57,BE$16),MIN($E57,BE$17),Libur!$A$2:$A$38)/NETWORKDAYS($D57,$E57,Libur!$A$2:$A$38),0)</f>
        <v>0</v>
      </c>
      <c r="BF57" s="53">
        <f>IF(AND($D57&lt;=BF$17,$E57&gt;=BF$16),$C57*NETWORKDAYS(MAX($D57,BF$16),MIN($E57,BF$17),Libur!$A$2:$A$38)/NETWORKDAYS($D57,$E57,Libur!$A$2:$A$38),0)</f>
        <v>0</v>
      </c>
      <c r="BG57" s="53">
        <f>IF(AND($D57&lt;=BG$17,$E57&gt;=BG$16),$C57*NETWORKDAYS(MAX($D57,BG$16),MIN($E57,BG$17),Libur!$A$2:$A$38)/NETWORKDAYS($D57,$E57,Libur!$A$2:$A$38),0)</f>
        <v>0</v>
      </c>
      <c r="BH57" s="53">
        <f>IF(AND($D57&lt;=BH$17,$E57&gt;=BH$16),$C57*NETWORKDAYS(MAX($D57,BH$16),MIN($E57,BH$17),Libur!$A$2:$A$38)/NETWORKDAYS($D57,$E57,Libur!$A$2:$A$38),0)</f>
        <v>0</v>
      </c>
      <c r="BI57" s="53">
        <f>IF(AND($D57&lt;=BI$17,$E57&gt;=BI$16),$C57*NETWORKDAYS(MAX($D57,BI$16),MIN($E57,BI$17),Libur!$A$2:$A$38)/NETWORKDAYS($D57,$E57,Libur!$A$2:$A$38),0)</f>
        <v>0</v>
      </c>
      <c r="BJ57" s="53">
        <f>IF(AND($D57&lt;=BJ$17,$E57&gt;=BJ$16),$C57*NETWORKDAYS(MAX($D57,BJ$16),MIN($E57,BJ$17),Libur!$A$2:$A$38)/NETWORKDAYS($D57,$E57,Libur!$A$2:$A$38),0)</f>
        <v>0</v>
      </c>
      <c r="BK57" s="53">
        <f>IF(AND($D57&lt;=BK$17,$E57&gt;=BK$16),$C57*NETWORKDAYS(MAX($D57,BK$16),MIN($E57,BK$17),Libur!$A$2:$A$38)/NETWORKDAYS($D57,$E57,Libur!$A$2:$A$38),0)</f>
        <v>0</v>
      </c>
    </row>
    <row r="58" spans="1:63" x14ac:dyDescent="0.25">
      <c r="A58" s="45"/>
      <c r="B58" s="46" t="s">
        <v>108</v>
      </c>
      <c r="C58" s="48">
        <v>0.03</v>
      </c>
      <c r="D58" s="47">
        <v>46259</v>
      </c>
      <c r="E58" s="47">
        <v>46261</v>
      </c>
      <c r="F58" s="7">
        <f>C58</f>
        <v>0.03</v>
      </c>
      <c r="G58" s="48">
        <f>SUM(P58:AZ58)</f>
        <v>0.03</v>
      </c>
      <c r="H58" s="49">
        <f>NETWORKDAYS(D58,E58,Libur!$A$2:$A$56)</f>
        <v>2</v>
      </c>
      <c r="I58" s="48">
        <f>IF($C$8&gt;E58,100/100,IF($C$8&lt;=D58,0,(NETWORKDAYS(D58,$C$8)/NETWORKDAYS(D58,E58))))</f>
        <v>0</v>
      </c>
      <c r="J58" s="48">
        <f>I58*F58</f>
        <v>0</v>
      </c>
      <c r="K58" s="48">
        <v>0</v>
      </c>
      <c r="L58" s="48">
        <f>C58*K58</f>
        <v>0</v>
      </c>
      <c r="M58" s="48">
        <f>L58-J58</f>
        <v>0</v>
      </c>
      <c r="N58" s="51">
        <f>C58</f>
        <v>0.03</v>
      </c>
      <c r="O58" s="52">
        <f>SUM(P58:BK58)</f>
        <v>0.03</v>
      </c>
      <c r="P58" s="53">
        <f>IF(AND($D58&lt;=P$17,$E58&gt;=P$16),$C58*NETWORKDAYS(MAX($D58,P$16),MIN($E58,P$17),Libur!$A$2:$A$38)/NETWORKDAYS($D58,$E58,Libur!$A$2:$A$38),0)</f>
        <v>0</v>
      </c>
      <c r="Q58" s="53">
        <f>IF(AND($D58&lt;=Q$17,$E58&gt;=Q$16),$C58*NETWORKDAYS(MAX($D58,Q$16),MIN($E58,Q$17),Libur!$A$2:$A$38)/NETWORKDAYS($D58,$E58,Libur!$A$2:$A$38),0)</f>
        <v>0</v>
      </c>
      <c r="R58" s="53">
        <f>IF(AND($D58&lt;=R$17,$E58&gt;=R$16),$C58*NETWORKDAYS(MAX($D58,R$16),MIN($E58,R$17),Libur!$A$2:$A$38)/NETWORKDAYS($D58,$E58,Libur!$A$2:$A$38),0)</f>
        <v>0</v>
      </c>
      <c r="S58" s="53">
        <f>IF(AND($D58&lt;=S$17,$E58&gt;=S$16),$C58*NETWORKDAYS(MAX($D58,S$16),MIN($E58,S$17),Libur!$A$2:$A$38)/NETWORKDAYS($D58,$E58,Libur!$A$2:$A$38),0)</f>
        <v>0</v>
      </c>
      <c r="T58" s="53">
        <f>IF(AND($D58&lt;=T$17,$E58&gt;=T$16),$C58*NETWORKDAYS(MAX($D58,T$16),MIN($E58,T$17),Libur!$A$2:$A$38)/NETWORKDAYS($D58,$E58,Libur!$A$2:$A$38),0)</f>
        <v>0</v>
      </c>
      <c r="U58" s="53">
        <f>IF(AND($D58&lt;=U$17,$E58&gt;=U$16),$C58*NETWORKDAYS(MAX($D58,U$16),MIN($E58,U$17),Libur!$A$2:$A$38)/NETWORKDAYS($D58,$E58,Libur!$A$2:$A$38),0)</f>
        <v>0</v>
      </c>
      <c r="V58" s="53">
        <f>IF(AND($D58&lt;=V$17,$E58&gt;=V$16),$C58*NETWORKDAYS(MAX($D58,V$16),MIN($E58,V$17),Libur!$A$2:$A$38)/NETWORKDAYS($D58,$E58,Libur!$A$2:$A$38),0)</f>
        <v>0</v>
      </c>
      <c r="W58" s="53">
        <f>IF(AND($D58&lt;=W$17,$E58&gt;=W$16),$C58*NETWORKDAYS(MAX($D58,W$16),MIN($E58,W$17),Libur!$A$2:$A$38)/NETWORKDAYS($D58,$E58,Libur!$A$2:$A$38),0)</f>
        <v>0</v>
      </c>
      <c r="X58" s="53">
        <f>IF(AND($D58&lt;=X$17,$E58&gt;=X$16),$C58*NETWORKDAYS(MAX($D58,X$16),MIN($E58,X$17),Libur!$A$2:$A$38)/NETWORKDAYS($D58,$E58,Libur!$A$2:$A$38),0)</f>
        <v>0</v>
      </c>
      <c r="Y58" s="53">
        <f>IF(AND($D58&lt;=Y$17,$E58&gt;=Y$16),$C58*NETWORKDAYS(MAX($D58,Y$16),MIN($E58,Y$17),Libur!$A$2:$A$38)/NETWORKDAYS($D58,$E58,Libur!$A$2:$A$38),0)</f>
        <v>0</v>
      </c>
      <c r="Z58" s="53">
        <f>IF(AND($D58&lt;=Z$17,$E58&gt;=Z$16),$C58*NETWORKDAYS(MAX($D58,Z$16),MIN($E58,Z$17),Libur!$A$2:$A$38)/NETWORKDAYS($D58,$E58,Libur!$A$2:$A$38),0)</f>
        <v>0</v>
      </c>
      <c r="AA58" s="53">
        <f>IF(AND($D58&lt;=AA$17,$E58&gt;=AA$16),$C58*NETWORKDAYS(MAX($D58,AA$16),MIN($E58,AA$17),Libur!$A$2:$A$38)/NETWORKDAYS($D58,$E58,Libur!$A$2:$A$38),0)</f>
        <v>0</v>
      </c>
      <c r="AB58" s="53">
        <f>IF(AND($D58&lt;=AB$17,$E58&gt;=AB$16),$C58*NETWORKDAYS(MAX($D58,AB$16),MIN($E58,AB$17),Libur!$A$2:$A$38)/NETWORKDAYS($D58,$E58,Libur!$A$2:$A$38),0)</f>
        <v>0</v>
      </c>
      <c r="AC58" s="53">
        <f>IF(AND($D58&lt;=AC$17,$E58&gt;=AC$16),$C58*NETWORKDAYS(MAX($D58,AC$16),MIN($E58,AC$17),Libur!$A$2:$A$38)/NETWORKDAYS($D58,$E58,Libur!$A$2:$A$38),0)</f>
        <v>0</v>
      </c>
      <c r="AD58" s="53">
        <f>IF(AND($D58&lt;=AD$17,$E58&gt;=AD$16),$C58*NETWORKDAYS(MAX($D58,AD$16),MIN($E58,AD$17),Libur!$A$2:$A$38)/NETWORKDAYS($D58,$E58,Libur!$A$2:$A$38),0)</f>
        <v>0</v>
      </c>
      <c r="AE58" s="53">
        <f>IF(AND($D58&lt;=AE$17,$E58&gt;=AE$16),$C58*NETWORKDAYS(MAX($D58,AE$16),MIN($E58,AE$17),Libur!$A$2:$A$38)/NETWORKDAYS($D58,$E58,Libur!$A$2:$A$38),0)</f>
        <v>0</v>
      </c>
      <c r="AF58" s="53">
        <f>IF(AND($D58&lt;=AF$17,$E58&gt;=AF$16),$C58*NETWORKDAYS(MAX($D58,AF$16),MIN($E58,AF$17),Libur!$A$2:$A$38)/NETWORKDAYS($D58,$E58,Libur!$A$2:$A$38),0)</f>
        <v>0.03</v>
      </c>
      <c r="AG58" s="53">
        <f>IF(AND($D58&lt;=AG$17,$E58&gt;=AG$16),$C58*NETWORKDAYS(MAX($D58,AG$16),MIN($E58,AG$17),Libur!$A$2:$A$38)/NETWORKDAYS($D58,$E58,Libur!$A$2:$A$38),0)</f>
        <v>0</v>
      </c>
      <c r="AH58" s="53">
        <f>IF(AND($D58&lt;=AH$17,$E58&gt;=AH$16),$C58*NETWORKDAYS(MAX($D58,AH$16),MIN($E58,AH$17),Libur!$A$2:$A$38)/NETWORKDAYS($D58,$E58,Libur!$A$2:$A$38),0)</f>
        <v>0</v>
      </c>
      <c r="AI58" s="53">
        <f>IF(AND($D58&lt;=AI$17,$E58&gt;=AI$16),$C58*NETWORKDAYS(MAX($D58,AI$16),MIN($E58,AI$17),Libur!$A$2:$A$38)/NETWORKDAYS($D58,$E58,Libur!$A$2:$A$38),0)</f>
        <v>0</v>
      </c>
      <c r="AJ58" s="53">
        <f>IF(AND($D58&lt;=AJ$17,$E58&gt;=AJ$16),$C58*NETWORKDAYS(MAX($D58,AJ$16),MIN($E58,AJ$17),Libur!$A$2:$A$38)/NETWORKDAYS($D58,$E58,Libur!$A$2:$A$38),0)</f>
        <v>0</v>
      </c>
      <c r="AK58" s="53">
        <f>IF(AND($D58&lt;=AK$17,$E58&gt;=AK$16),$C58*NETWORKDAYS(MAX($D58,AK$16),MIN($E58,AK$17),Libur!$A$2:$A$38)/NETWORKDAYS($D58,$E58,Libur!$A$2:$A$38),0)</f>
        <v>0</v>
      </c>
      <c r="AL58" s="53">
        <f>IF(AND($D58&lt;=AL$17,$E58&gt;=AL$16),$C58*NETWORKDAYS(MAX($D58,AL$16),MIN($E58,AL$17),Libur!$A$2:$A$38)/NETWORKDAYS($D58,$E58,Libur!$A$2:$A$38),0)</f>
        <v>0</v>
      </c>
      <c r="AM58" s="53">
        <f>IF(AND($D58&lt;=AM$17,$E58&gt;=AM$16),$C58*NETWORKDAYS(MAX($D58,AM$16),MIN($E58,AM$17),Libur!$A$2:$A$38)/NETWORKDAYS($D58,$E58,Libur!$A$2:$A$38),0)</f>
        <v>0</v>
      </c>
      <c r="AN58" s="53">
        <f>IF(AND($D58&lt;=AN$17,$E58&gt;=AN$16),$C58*NETWORKDAYS(MAX($D58,AN$16),MIN($E58,AN$17),Libur!$A$2:$A$38)/NETWORKDAYS($D58,$E58,Libur!$A$2:$A$38),0)</f>
        <v>0</v>
      </c>
      <c r="AO58" s="53">
        <f>IF(AND($D58&lt;=AO$17,$E58&gt;=AO$16),$C58*NETWORKDAYS(MAX($D58,AO$16),MIN($E58,AO$17),Libur!$A$2:$A$38)/NETWORKDAYS($D58,$E58,Libur!$A$2:$A$38),0)</f>
        <v>0</v>
      </c>
      <c r="AP58" s="53">
        <f>IF(AND($D58&lt;=AP$17,$E58&gt;=AP$16),$C58*NETWORKDAYS(MAX($D58,AP$16),MIN($E58,AP$17),Libur!$A$2:$A$38)/NETWORKDAYS($D58,$E58,Libur!$A$2:$A$38),0)</f>
        <v>0</v>
      </c>
      <c r="AQ58" s="53">
        <f>IF(AND($D58&lt;=AQ$17,$E58&gt;=AQ$16),$C58*NETWORKDAYS(MAX($D58,AQ$16),MIN($E58,AQ$17),Libur!$A$2:$A$38)/NETWORKDAYS($D58,$E58,Libur!$A$2:$A$38),0)</f>
        <v>0</v>
      </c>
      <c r="AR58" s="53">
        <f>IF(AND($D58&lt;=AR$17,$E58&gt;=AR$16),$C58*NETWORKDAYS(MAX($D58,AR$16),MIN($E58,AR$17),Libur!$A$2:$A$38)/NETWORKDAYS($D58,$E58,Libur!$A$2:$A$38),0)</f>
        <v>0</v>
      </c>
      <c r="AS58" s="53">
        <f>IF(AND($D58&lt;=AS$17,$E58&gt;=AS$16),$C58*NETWORKDAYS(MAX($D58,AS$16),MIN($E58,AS$17),Libur!$A$2:$A$38)/NETWORKDAYS($D58,$E58,Libur!$A$2:$A$38),0)</f>
        <v>0</v>
      </c>
      <c r="AT58" s="53">
        <f>IF(AND($D58&lt;=AT$17,$E58&gt;=AT$16),$C58*NETWORKDAYS(MAX($D58,AT$16),MIN($E58,AT$17),Libur!$A$2:$A$38)/NETWORKDAYS($D58,$E58,Libur!$A$2:$A$38),0)</f>
        <v>0</v>
      </c>
      <c r="AU58" s="53">
        <f>IF(AND($D58&lt;=AU$17,$E58&gt;=AU$16),$C58*NETWORKDAYS(MAX($D58,AU$16),MIN($E58,AU$17),Libur!$A$2:$A$38)/NETWORKDAYS($D58,$E58,Libur!$A$2:$A$38),0)</f>
        <v>0</v>
      </c>
      <c r="AV58" s="53">
        <f>IF(AND($D58&lt;=AV$17,$E58&gt;=AV$16),$C58*NETWORKDAYS(MAX($D58,AV$16),MIN($E58,AV$17),Libur!$A$2:$A$38)/NETWORKDAYS($D58,$E58,Libur!$A$2:$A$38),0)</f>
        <v>0</v>
      </c>
      <c r="AW58" s="53">
        <f>IF(AND($D58&lt;=AW$17,$E58&gt;=AW$16),$C58*NETWORKDAYS(MAX($D58,AW$16),MIN($E58,AW$17),Libur!$A$2:$A$38)/NETWORKDAYS($D58,$E58,Libur!$A$2:$A$38),0)</f>
        <v>0</v>
      </c>
      <c r="AX58" s="53">
        <f>IF(AND($D58&lt;=AX$17,$E58&gt;=AX$16),$C58*NETWORKDAYS(MAX($D58,AX$16),MIN($E58,AX$17),Libur!$A$2:$A$38)/NETWORKDAYS($D58,$E58,Libur!$A$2:$A$38),0)</f>
        <v>0</v>
      </c>
      <c r="AY58" s="53">
        <f>IF(AND($D58&lt;=AY$17,$E58&gt;=AY$16),$C58*NETWORKDAYS(MAX($D58,AY$16),MIN($E58,AY$17),Libur!$A$2:$A$38)/NETWORKDAYS($D58,$E58,Libur!$A$2:$A$38),0)</f>
        <v>0</v>
      </c>
      <c r="AZ58" s="53">
        <f>IF(AND($D58&lt;=AZ$17,$E58&gt;=AZ$16),$C58*NETWORKDAYS(MAX($D58,AZ$16),MIN($E58,AZ$17),Libur!$A$2:$A$38)/NETWORKDAYS($D58,$E58,Libur!$A$2:$A$38),0)</f>
        <v>0</v>
      </c>
      <c r="BA58" s="53">
        <f>IF(AND($D58&lt;=BA$17,$E58&gt;=BA$16),$C58*NETWORKDAYS(MAX($D58,BA$16),MIN($E58,BA$17),Libur!$A$2:$A$38)/NETWORKDAYS($D58,$E58,Libur!$A$2:$A$38),0)</f>
        <v>0</v>
      </c>
      <c r="BB58" s="53">
        <f>IF(AND($D58&lt;=BB$17,$E58&gt;=BB$16),$C58*NETWORKDAYS(MAX($D58,BB$16),MIN($E58,BB$17),Libur!$A$2:$A$38)/NETWORKDAYS($D58,$E58,Libur!$A$2:$A$38),0)</f>
        <v>0</v>
      </c>
      <c r="BC58" s="53">
        <f>IF(AND($D58&lt;=BC$17,$E58&gt;=BC$16),$C58*NETWORKDAYS(MAX($D58,BC$16),MIN($E58,BC$17),Libur!$A$2:$A$38)/NETWORKDAYS($D58,$E58,Libur!$A$2:$A$38),0)</f>
        <v>0</v>
      </c>
      <c r="BD58" s="53">
        <f>IF(AND($D58&lt;=BD$17,$E58&gt;=BD$16),$C58*NETWORKDAYS(MAX($D58,BD$16),MIN($E58,BD$17),Libur!$A$2:$A$38)/NETWORKDAYS($D58,$E58,Libur!$A$2:$A$38),0)</f>
        <v>0</v>
      </c>
      <c r="BE58" s="53">
        <f>IF(AND($D58&lt;=BE$17,$E58&gt;=BE$16),$C58*NETWORKDAYS(MAX($D58,BE$16),MIN($E58,BE$17),Libur!$A$2:$A$38)/NETWORKDAYS($D58,$E58,Libur!$A$2:$A$38),0)</f>
        <v>0</v>
      </c>
      <c r="BF58" s="53">
        <f>IF(AND($D58&lt;=BF$17,$E58&gt;=BF$16),$C58*NETWORKDAYS(MAX($D58,BF$16),MIN($E58,BF$17),Libur!$A$2:$A$38)/NETWORKDAYS($D58,$E58,Libur!$A$2:$A$38),0)</f>
        <v>0</v>
      </c>
      <c r="BG58" s="53">
        <f>IF(AND($D58&lt;=BG$17,$E58&gt;=BG$16),$C58*NETWORKDAYS(MAX($D58,BG$16),MIN($E58,BG$17),Libur!$A$2:$A$38)/NETWORKDAYS($D58,$E58,Libur!$A$2:$A$38),0)</f>
        <v>0</v>
      </c>
      <c r="BH58" s="53">
        <f>IF(AND($D58&lt;=BH$17,$E58&gt;=BH$16),$C58*NETWORKDAYS(MAX($D58,BH$16),MIN($E58,BH$17),Libur!$A$2:$A$38)/NETWORKDAYS($D58,$E58,Libur!$A$2:$A$38),0)</f>
        <v>0</v>
      </c>
      <c r="BI58" s="53">
        <f>IF(AND($D58&lt;=BI$17,$E58&gt;=BI$16),$C58*NETWORKDAYS(MAX($D58,BI$16),MIN($E58,BI$17),Libur!$A$2:$A$38)/NETWORKDAYS($D58,$E58,Libur!$A$2:$A$38),0)</f>
        <v>0</v>
      </c>
      <c r="BJ58" s="53">
        <f>IF(AND($D58&lt;=BJ$17,$E58&gt;=BJ$16),$C58*NETWORKDAYS(MAX($D58,BJ$16),MIN($E58,BJ$17),Libur!$A$2:$A$38)/NETWORKDAYS($D58,$E58,Libur!$A$2:$A$38),0)</f>
        <v>0</v>
      </c>
      <c r="BK58" s="53">
        <f>IF(AND($D58&lt;=BK$17,$E58&gt;=BK$16),$C58*NETWORKDAYS(MAX($D58,BK$16),MIN($E58,BK$17),Libur!$A$2:$A$38)/NETWORKDAYS($D58,$E58,Libur!$A$2:$A$38),0)</f>
        <v>0</v>
      </c>
    </row>
    <row r="59" spans="1:63" x14ac:dyDescent="0.25">
      <c r="A59" s="45"/>
      <c r="B59" s="46"/>
      <c r="C59" s="48"/>
      <c r="D59" s="47"/>
      <c r="E59" s="47"/>
      <c r="F59" s="7"/>
      <c r="G59" s="48"/>
      <c r="H59" s="49"/>
      <c r="I59" s="48"/>
      <c r="J59" s="48"/>
      <c r="K59" s="48"/>
      <c r="L59" s="48"/>
      <c r="M59" s="48"/>
      <c r="N59" s="51"/>
      <c r="O59" s="52"/>
      <c r="P59" s="53">
        <f>IF(AND($D59&lt;=P$17,$E59&gt;=P$16),$C59*NETWORKDAYS(MAX($D59,P$16),MIN($E59,P$17),Libur!$A$2:$A$38)/NETWORKDAYS($D59,$E59,Libur!$A$2:$A$38),0)</f>
        <v>0</v>
      </c>
      <c r="Q59" s="53">
        <f>IF(AND($D59&lt;=Q$17,$E59&gt;=Q$16),$C59*NETWORKDAYS(MAX($D59,Q$16),MIN($E59,Q$17),Libur!$A$2:$A$38)/NETWORKDAYS($D59,$E59,Libur!$A$2:$A$38),0)</f>
        <v>0</v>
      </c>
      <c r="R59" s="53">
        <f>IF(AND($D59&lt;=R$17,$E59&gt;=R$16),$C59*NETWORKDAYS(MAX($D59,R$16),MIN($E59,R$17),Libur!$A$2:$A$38)/NETWORKDAYS($D59,$E59,Libur!$A$2:$A$38),0)</f>
        <v>0</v>
      </c>
      <c r="S59" s="53">
        <f>IF(AND($D59&lt;=S$17,$E59&gt;=S$16),$C59*NETWORKDAYS(MAX($D59,S$16),MIN($E59,S$17),Libur!$A$2:$A$38)/NETWORKDAYS($D59,$E59,Libur!$A$2:$A$38),0)</f>
        <v>0</v>
      </c>
      <c r="T59" s="53">
        <f>IF(AND($D59&lt;=T$17,$E59&gt;=T$16),$C59*NETWORKDAYS(MAX($D59,T$16),MIN($E59,T$17),Libur!$A$2:$A$38)/NETWORKDAYS($D59,$E59,Libur!$A$2:$A$38),0)</f>
        <v>0</v>
      </c>
      <c r="U59" s="53">
        <f>IF(AND($D59&lt;=U$17,$E59&gt;=U$16),$C59*NETWORKDAYS(MAX($D59,U$16),MIN($E59,U$17),Libur!$A$2:$A$38)/NETWORKDAYS($D59,$E59,Libur!$A$2:$A$38),0)</f>
        <v>0</v>
      </c>
      <c r="V59" s="53">
        <f>IF(AND($D59&lt;=V$17,$E59&gt;=V$16),$C59*NETWORKDAYS(MAX($D59,V$16),MIN($E59,V$17),Libur!$A$2:$A$38)/NETWORKDAYS($D59,$E59,Libur!$A$2:$A$38),0)</f>
        <v>0</v>
      </c>
      <c r="W59" s="53">
        <f>IF(AND($D59&lt;=W$17,$E59&gt;=W$16),$C59*NETWORKDAYS(MAX($D59,W$16),MIN($E59,W$17),Libur!$A$2:$A$38)/NETWORKDAYS($D59,$E59,Libur!$A$2:$A$38),0)</f>
        <v>0</v>
      </c>
      <c r="X59" s="53">
        <f>IF(AND($D59&lt;=X$17,$E59&gt;=X$16),$C59*NETWORKDAYS(MAX($D59,X$16),MIN($E59,X$17),Libur!$A$2:$A$38)/NETWORKDAYS($D59,$E59,Libur!$A$2:$A$38),0)</f>
        <v>0</v>
      </c>
      <c r="Y59" s="53">
        <f>IF(AND($D59&lt;=Y$17,$E59&gt;=Y$16),$C59*NETWORKDAYS(MAX($D59,Y$16),MIN($E59,Y$17),Libur!$A$2:$A$38)/NETWORKDAYS($D59,$E59,Libur!$A$2:$A$38),0)</f>
        <v>0</v>
      </c>
      <c r="Z59" s="53">
        <f>IF(AND($D59&lt;=Z$17,$E59&gt;=Z$16),$C59*NETWORKDAYS(MAX($D59,Z$16),MIN($E59,Z$17),Libur!$A$2:$A$38)/NETWORKDAYS($D59,$E59,Libur!$A$2:$A$38),0)</f>
        <v>0</v>
      </c>
      <c r="AA59" s="53">
        <f>IF(AND($D59&lt;=AA$17,$E59&gt;=AA$16),$C59*NETWORKDAYS(MAX($D59,AA$16),MIN($E59,AA$17),Libur!$A$2:$A$38)/NETWORKDAYS($D59,$E59,Libur!$A$2:$A$38),0)</f>
        <v>0</v>
      </c>
      <c r="AB59" s="53">
        <f>IF(AND($D59&lt;=AB$17,$E59&gt;=AB$16),$C59*NETWORKDAYS(MAX($D59,AB$16),MIN($E59,AB$17),Libur!$A$2:$A$38)/NETWORKDAYS($D59,$E59,Libur!$A$2:$A$38),0)</f>
        <v>0</v>
      </c>
      <c r="AC59" s="53">
        <f>IF(AND($D59&lt;=AC$17,$E59&gt;=AC$16),$C59*NETWORKDAYS(MAX($D59,AC$16),MIN($E59,AC$17),Libur!$A$2:$A$38)/NETWORKDAYS($D59,$E59,Libur!$A$2:$A$38),0)</f>
        <v>0</v>
      </c>
      <c r="AD59" s="53">
        <f>IF(AND($D59&lt;=AD$17,$E59&gt;=AD$16),$C59*NETWORKDAYS(MAX($D59,AD$16),MIN($E59,AD$17),Libur!$A$2:$A$38)/NETWORKDAYS($D59,$E59,Libur!$A$2:$A$38),0)</f>
        <v>0</v>
      </c>
      <c r="AE59" s="53">
        <f>IF(AND($D59&lt;=AE$17,$E59&gt;=AE$16),$C59*NETWORKDAYS(MAX($D59,AE$16),MIN($E59,AE$17),Libur!$A$2:$A$38)/NETWORKDAYS($D59,$E59,Libur!$A$2:$A$38),0)</f>
        <v>0</v>
      </c>
      <c r="AF59" s="53">
        <f>IF(AND($D59&lt;=AF$17,$E59&gt;=AF$16),$C59*NETWORKDAYS(MAX($D59,AF$16),MIN($E59,AF$17),Libur!$A$2:$A$38)/NETWORKDAYS($D59,$E59,Libur!$A$2:$A$38),0)</f>
        <v>0</v>
      </c>
      <c r="AG59" s="53">
        <f>IF(AND($D59&lt;=AG$17,$E59&gt;=AG$16),$C59*NETWORKDAYS(MAX($D59,AG$16),MIN($E59,AG$17),Libur!$A$2:$A$38)/NETWORKDAYS($D59,$E59,Libur!$A$2:$A$38),0)</f>
        <v>0</v>
      </c>
      <c r="AH59" s="53">
        <f>IF(AND($D59&lt;=AH$17,$E59&gt;=AH$16),$C59*NETWORKDAYS(MAX($D59,AH$16),MIN($E59,AH$17),Libur!$A$2:$A$38)/NETWORKDAYS($D59,$E59,Libur!$A$2:$A$38),0)</f>
        <v>0</v>
      </c>
      <c r="AI59" s="53">
        <f>IF(AND($D59&lt;=AI$17,$E59&gt;=AI$16),$C59*NETWORKDAYS(MAX($D59,AI$16),MIN($E59,AI$17),Libur!$A$2:$A$38)/NETWORKDAYS($D59,$E59,Libur!$A$2:$A$38),0)</f>
        <v>0</v>
      </c>
      <c r="AJ59" s="53">
        <f>IF(AND($D59&lt;=AJ$17,$E59&gt;=AJ$16),$C59*NETWORKDAYS(MAX($D59,AJ$16),MIN($E59,AJ$17),Libur!$A$2:$A$38)/NETWORKDAYS($D59,$E59,Libur!$A$2:$A$38),0)</f>
        <v>0</v>
      </c>
      <c r="AK59" s="53">
        <f>IF(AND($D59&lt;=AK$17,$E59&gt;=AK$16),$C59*NETWORKDAYS(MAX($D59,AK$16),MIN($E59,AK$17),Libur!$A$2:$A$38)/NETWORKDAYS($D59,$E59,Libur!$A$2:$A$38),0)</f>
        <v>0</v>
      </c>
      <c r="AL59" s="53">
        <f>IF(AND($D59&lt;=AL$17,$E59&gt;=AL$16),$C59*NETWORKDAYS(MAX($D59,AL$16),MIN($E59,AL$17),Libur!$A$2:$A$38)/NETWORKDAYS($D59,$E59,Libur!$A$2:$A$38),0)</f>
        <v>0</v>
      </c>
      <c r="AM59" s="53">
        <f>IF(AND($D59&lt;=AM$17,$E59&gt;=AM$16),$C59*NETWORKDAYS(MAX($D59,AM$16),MIN($E59,AM$17),Libur!$A$2:$A$38)/NETWORKDAYS($D59,$E59,Libur!$A$2:$A$38),0)</f>
        <v>0</v>
      </c>
      <c r="AN59" s="53">
        <f>IF(AND($D59&lt;=AN$17,$E59&gt;=AN$16),$C59*NETWORKDAYS(MAX($D59,AN$16),MIN($E59,AN$17),Libur!$A$2:$A$38)/NETWORKDAYS($D59,$E59,Libur!$A$2:$A$38),0)</f>
        <v>0</v>
      </c>
      <c r="AO59" s="53">
        <f>IF(AND($D59&lt;=AO$17,$E59&gt;=AO$16),$C59*NETWORKDAYS(MAX($D59,AO$16),MIN($E59,AO$17),Libur!$A$2:$A$38)/NETWORKDAYS($D59,$E59,Libur!$A$2:$A$38),0)</f>
        <v>0</v>
      </c>
      <c r="AP59" s="53">
        <f>IF(AND($D59&lt;=AP$17,$E59&gt;=AP$16),$C59*NETWORKDAYS(MAX($D59,AP$16),MIN($E59,AP$17),Libur!$A$2:$A$38)/NETWORKDAYS($D59,$E59,Libur!$A$2:$A$38),0)</f>
        <v>0</v>
      </c>
      <c r="AQ59" s="53">
        <f>IF(AND($D59&lt;=AQ$17,$E59&gt;=AQ$16),$C59*NETWORKDAYS(MAX($D59,AQ$16),MIN($E59,AQ$17),Libur!$A$2:$A$38)/NETWORKDAYS($D59,$E59,Libur!$A$2:$A$38),0)</f>
        <v>0</v>
      </c>
      <c r="AR59" s="53">
        <f>IF(AND($D59&lt;=AR$17,$E59&gt;=AR$16),$C59*NETWORKDAYS(MAX($D59,AR$16),MIN($E59,AR$17),Libur!$A$2:$A$38)/NETWORKDAYS($D59,$E59,Libur!$A$2:$A$38),0)</f>
        <v>0</v>
      </c>
      <c r="AS59" s="53">
        <f>IF(AND($D59&lt;=AS$17,$E59&gt;=AS$16),$C59*NETWORKDAYS(MAX($D59,AS$16),MIN($E59,AS$17),Libur!$A$2:$A$38)/NETWORKDAYS($D59,$E59,Libur!$A$2:$A$38),0)</f>
        <v>0</v>
      </c>
      <c r="AT59" s="53">
        <f>IF(AND($D59&lt;=AT$17,$E59&gt;=AT$16),$C59*NETWORKDAYS(MAX($D59,AT$16),MIN($E59,AT$17),Libur!$A$2:$A$38)/NETWORKDAYS($D59,$E59,Libur!$A$2:$A$38),0)</f>
        <v>0</v>
      </c>
      <c r="AU59" s="53">
        <f>IF(AND($D59&lt;=AU$17,$E59&gt;=AU$16),$C59*NETWORKDAYS(MAX($D59,AU$16),MIN($E59,AU$17),Libur!$A$2:$A$38)/NETWORKDAYS($D59,$E59,Libur!$A$2:$A$38),0)</f>
        <v>0</v>
      </c>
      <c r="AV59" s="53">
        <f>IF(AND($D59&lt;=AV$17,$E59&gt;=AV$16),$C59*NETWORKDAYS(MAX($D59,AV$16),MIN($E59,AV$17),Libur!$A$2:$A$38)/NETWORKDAYS($D59,$E59,Libur!$A$2:$A$38),0)</f>
        <v>0</v>
      </c>
      <c r="AW59" s="53">
        <f>IF(AND($D59&lt;=AW$17,$E59&gt;=AW$16),$C59*NETWORKDAYS(MAX($D59,AW$16),MIN($E59,AW$17),Libur!$A$2:$A$38)/NETWORKDAYS($D59,$E59,Libur!$A$2:$A$38),0)</f>
        <v>0</v>
      </c>
      <c r="AX59" s="53">
        <f>IF(AND($D59&lt;=AX$17,$E59&gt;=AX$16),$C59*NETWORKDAYS(MAX($D59,AX$16),MIN($E59,AX$17),Libur!$A$2:$A$38)/NETWORKDAYS($D59,$E59,Libur!$A$2:$A$38),0)</f>
        <v>0</v>
      </c>
      <c r="AY59" s="53">
        <f>IF(AND($D59&lt;=AY$17,$E59&gt;=AY$16),$C59*NETWORKDAYS(MAX($D59,AY$16),MIN($E59,AY$17),Libur!$A$2:$A$38)/NETWORKDAYS($D59,$E59,Libur!$A$2:$A$38),0)</f>
        <v>0</v>
      </c>
      <c r="AZ59" s="53">
        <f>IF(AND($D59&lt;=AZ$17,$E59&gt;=AZ$16),$C59*NETWORKDAYS(MAX($D59,AZ$16),MIN($E59,AZ$17),Libur!$A$2:$A$38)/NETWORKDAYS($D59,$E59,Libur!$A$2:$A$38),0)</f>
        <v>0</v>
      </c>
      <c r="BA59" s="53">
        <f>IF(AND($D59&lt;=BA$17,$E59&gt;=BA$16),$C59*NETWORKDAYS(MAX($D59,BA$16),MIN($E59,BA$17),Libur!$A$2:$A$38)/NETWORKDAYS($D59,$E59,Libur!$A$2:$A$38),0)</f>
        <v>0</v>
      </c>
      <c r="BB59" s="53">
        <f>IF(AND($D59&lt;=BB$17,$E59&gt;=BB$16),$C59*NETWORKDAYS(MAX($D59,BB$16),MIN($E59,BB$17),Libur!$A$2:$A$38)/NETWORKDAYS($D59,$E59,Libur!$A$2:$A$38),0)</f>
        <v>0</v>
      </c>
      <c r="BC59" s="53">
        <f>IF(AND($D59&lt;=BC$17,$E59&gt;=BC$16),$C59*NETWORKDAYS(MAX($D59,BC$16),MIN($E59,BC$17),Libur!$A$2:$A$38)/NETWORKDAYS($D59,$E59,Libur!$A$2:$A$38),0)</f>
        <v>0</v>
      </c>
      <c r="BD59" s="53">
        <f>IF(AND($D59&lt;=BD$17,$E59&gt;=BD$16),$C59*NETWORKDAYS(MAX($D59,BD$16),MIN($E59,BD$17),Libur!$A$2:$A$38)/NETWORKDAYS($D59,$E59,Libur!$A$2:$A$38),0)</f>
        <v>0</v>
      </c>
      <c r="BE59" s="53">
        <f>IF(AND($D59&lt;=BE$17,$E59&gt;=BE$16),$C59*NETWORKDAYS(MAX($D59,BE$16),MIN($E59,BE$17),Libur!$A$2:$A$38)/NETWORKDAYS($D59,$E59,Libur!$A$2:$A$38),0)</f>
        <v>0</v>
      </c>
      <c r="BF59" s="53">
        <f>IF(AND($D59&lt;=BF$17,$E59&gt;=BF$16),$C59*NETWORKDAYS(MAX($D59,BF$16),MIN($E59,BF$17),Libur!$A$2:$A$38)/NETWORKDAYS($D59,$E59,Libur!$A$2:$A$38),0)</f>
        <v>0</v>
      </c>
      <c r="BG59" s="53">
        <f>IF(AND($D59&lt;=BG$17,$E59&gt;=BG$16),$C59*NETWORKDAYS(MAX($D59,BG$16),MIN($E59,BG$17),Libur!$A$2:$A$38)/NETWORKDAYS($D59,$E59,Libur!$A$2:$A$38),0)</f>
        <v>0</v>
      </c>
      <c r="BH59" s="53">
        <f>IF(AND($D59&lt;=BH$17,$E59&gt;=BH$16),$C59*NETWORKDAYS(MAX($D59,BH$16),MIN($E59,BH$17),Libur!$A$2:$A$38)/NETWORKDAYS($D59,$E59,Libur!$A$2:$A$38),0)</f>
        <v>0</v>
      </c>
      <c r="BI59" s="53">
        <f>IF(AND($D59&lt;=BI$17,$E59&gt;=BI$16),$C59*NETWORKDAYS(MAX($D59,BI$16),MIN($E59,BI$17),Libur!$A$2:$A$38)/NETWORKDAYS($D59,$E59,Libur!$A$2:$A$38),0)</f>
        <v>0</v>
      </c>
      <c r="BJ59" s="53">
        <f>IF(AND($D59&lt;=BJ$17,$E59&gt;=BJ$16),$C59*NETWORKDAYS(MAX($D59,BJ$16),MIN($E59,BJ$17),Libur!$A$2:$A$38)/NETWORKDAYS($D59,$E59,Libur!$A$2:$A$38),0)</f>
        <v>0</v>
      </c>
      <c r="BK59" s="53">
        <f>IF(AND($D59&lt;=BK$17,$E59&gt;=BK$16),$C59*NETWORKDAYS(MAX($D59,BK$16),MIN($E59,BK$17),Libur!$A$2:$A$38)/NETWORKDAYS($D59,$E59,Libur!$A$2:$A$38),0)</f>
        <v>0</v>
      </c>
    </row>
    <row r="60" spans="1:63" s="9" customFormat="1" x14ac:dyDescent="0.25">
      <c r="A60" s="36" t="s">
        <v>105</v>
      </c>
      <c r="B60" s="9" t="s">
        <v>110</v>
      </c>
      <c r="C60" s="48">
        <v>0.01</v>
      </c>
      <c r="D60" s="47">
        <v>46262</v>
      </c>
      <c r="E60" s="47">
        <v>46262</v>
      </c>
      <c r="F60" s="7">
        <f>C60</f>
        <v>0.01</v>
      </c>
      <c r="G60" s="48">
        <f>SUM(P60:AZ60)</f>
        <v>0.01</v>
      </c>
      <c r="H60" s="49">
        <f>NETWORKDAYS(D60,E60,Libur!$A$2:$A$56)</f>
        <v>1</v>
      </c>
      <c r="I60" s="48">
        <f>IF($C$8&gt;E60,100/100,IF($C$8&lt;=D60,0,(NETWORKDAYS(D60,$C$8)/NETWORKDAYS(D60,E60))))</f>
        <v>0</v>
      </c>
      <c r="J60" s="48">
        <f>I60*F60</f>
        <v>0</v>
      </c>
      <c r="K60" s="48">
        <v>0</v>
      </c>
      <c r="L60" s="48">
        <f>C60*K60</f>
        <v>0</v>
      </c>
      <c r="M60" s="48">
        <f>L60-J60</f>
        <v>0</v>
      </c>
      <c r="N60" s="51">
        <f>C60</f>
        <v>0.01</v>
      </c>
      <c r="O60" s="52">
        <f>SUM(P60:BK60)</f>
        <v>0.01</v>
      </c>
      <c r="P60" s="53">
        <f>IF(AND($D60&lt;=P$17,$E60&gt;=P$16),$C60*NETWORKDAYS(MAX($D60,P$16),MIN($E60,P$17),Libur!$A$2:$A$38)/NETWORKDAYS($D60,$E60,Libur!$A$2:$A$38),0)</f>
        <v>0</v>
      </c>
      <c r="Q60" s="53">
        <f>IF(AND($D60&lt;=Q$17,$E60&gt;=Q$16),$C60*NETWORKDAYS(MAX($D60,Q$16),MIN($E60,Q$17),Libur!$A$2:$A$38)/NETWORKDAYS($D60,$E60,Libur!$A$2:$A$38),0)</f>
        <v>0</v>
      </c>
      <c r="R60" s="53">
        <f>IF(AND($D60&lt;=R$17,$E60&gt;=R$16),$C60*NETWORKDAYS(MAX($D60,R$16),MIN($E60,R$17),Libur!$A$2:$A$38)/NETWORKDAYS($D60,$E60,Libur!$A$2:$A$38),0)</f>
        <v>0</v>
      </c>
      <c r="S60" s="53">
        <f>IF(AND($D60&lt;=S$17,$E60&gt;=S$16),$C60*NETWORKDAYS(MAX($D60,S$16),MIN($E60,S$17),Libur!$A$2:$A$38)/NETWORKDAYS($D60,$E60,Libur!$A$2:$A$38),0)</f>
        <v>0</v>
      </c>
      <c r="T60" s="53">
        <f>IF(AND($D60&lt;=T$17,$E60&gt;=T$16),$C60*NETWORKDAYS(MAX($D60,T$16),MIN($E60,T$17),Libur!$A$2:$A$38)/NETWORKDAYS($D60,$E60,Libur!$A$2:$A$38),0)</f>
        <v>0</v>
      </c>
      <c r="U60" s="53">
        <f>IF(AND($D60&lt;=U$17,$E60&gt;=U$16),$C60*NETWORKDAYS(MAX($D60,U$16),MIN($E60,U$17),Libur!$A$2:$A$38)/NETWORKDAYS($D60,$E60,Libur!$A$2:$A$38),0)</f>
        <v>0</v>
      </c>
      <c r="V60" s="53">
        <f>IF(AND($D60&lt;=V$17,$E60&gt;=V$16),$C60*NETWORKDAYS(MAX($D60,V$16),MIN($E60,V$17),Libur!$A$2:$A$38)/NETWORKDAYS($D60,$E60,Libur!$A$2:$A$38),0)</f>
        <v>0</v>
      </c>
      <c r="W60" s="53">
        <f>IF(AND($D60&lt;=W$17,$E60&gt;=W$16),$C60*NETWORKDAYS(MAX($D60,W$16),MIN($E60,W$17),Libur!$A$2:$A$38)/NETWORKDAYS($D60,$E60,Libur!$A$2:$A$38),0)</f>
        <v>0</v>
      </c>
      <c r="X60" s="53">
        <f>IF(AND($D60&lt;=X$17,$E60&gt;=X$16),$C60*NETWORKDAYS(MAX($D60,X$16),MIN($E60,X$17),Libur!$A$2:$A$38)/NETWORKDAYS($D60,$E60,Libur!$A$2:$A$38),0)</f>
        <v>0</v>
      </c>
      <c r="Y60" s="53">
        <f>IF(AND($D60&lt;=Y$17,$E60&gt;=Y$16),$C60*NETWORKDAYS(MAX($D60,Y$16),MIN($E60,Y$17),Libur!$A$2:$A$38)/NETWORKDAYS($D60,$E60,Libur!$A$2:$A$38),0)</f>
        <v>0</v>
      </c>
      <c r="Z60" s="53">
        <f>IF(AND($D60&lt;=Z$17,$E60&gt;=Z$16),$C60*NETWORKDAYS(MAX($D60,Z$16),MIN($E60,Z$17),Libur!$A$2:$A$38)/NETWORKDAYS($D60,$E60,Libur!$A$2:$A$38),0)</f>
        <v>0</v>
      </c>
      <c r="AA60" s="53">
        <f>IF(AND($D60&lt;=AA$17,$E60&gt;=AA$16),$C60*NETWORKDAYS(MAX($D60,AA$16),MIN($E60,AA$17),Libur!$A$2:$A$38)/NETWORKDAYS($D60,$E60,Libur!$A$2:$A$38),0)</f>
        <v>0</v>
      </c>
      <c r="AB60" s="53">
        <f>IF(AND($D60&lt;=AB$17,$E60&gt;=AB$16),$C60*NETWORKDAYS(MAX($D60,AB$16),MIN($E60,AB$17),Libur!$A$2:$A$38)/NETWORKDAYS($D60,$E60,Libur!$A$2:$A$38),0)</f>
        <v>0</v>
      </c>
      <c r="AC60" s="53">
        <f>IF(AND($D60&lt;=AC$17,$E60&gt;=AC$16),$C60*NETWORKDAYS(MAX($D60,AC$16),MIN($E60,AC$17),Libur!$A$2:$A$38)/NETWORKDAYS($D60,$E60,Libur!$A$2:$A$38),0)</f>
        <v>0</v>
      </c>
      <c r="AD60" s="53">
        <f>IF(AND($D60&lt;=AD$17,$E60&gt;=AD$16),$C60*NETWORKDAYS(MAX($D60,AD$16),MIN($E60,AD$17),Libur!$A$2:$A$38)/NETWORKDAYS($D60,$E60,Libur!$A$2:$A$38),0)</f>
        <v>0</v>
      </c>
      <c r="AE60" s="53">
        <f>IF(AND($D60&lt;=AE$17,$E60&gt;=AE$16),$C60*NETWORKDAYS(MAX($D60,AE$16),MIN($E60,AE$17),Libur!$A$2:$A$38)/NETWORKDAYS($D60,$E60,Libur!$A$2:$A$38),0)</f>
        <v>0</v>
      </c>
      <c r="AF60" s="53">
        <f>IF(AND($D60&lt;=AF$17,$E60&gt;=AF$16),$C60*NETWORKDAYS(MAX($D60,AF$16),MIN($E60,AF$17),Libur!$A$2:$A$38)/NETWORKDAYS($D60,$E60,Libur!$A$2:$A$38),0)</f>
        <v>0.01</v>
      </c>
      <c r="AG60" s="53">
        <f>IF(AND($D60&lt;=AG$17,$E60&gt;=AG$16),$C60*NETWORKDAYS(MAX($D60,AG$16),MIN($E60,AG$17),Libur!$A$2:$A$38)/NETWORKDAYS($D60,$E60,Libur!$A$2:$A$38),0)</f>
        <v>0</v>
      </c>
      <c r="AH60" s="53">
        <f>IF(AND($D60&lt;=AH$17,$E60&gt;=AH$16),$C60*NETWORKDAYS(MAX($D60,AH$16),MIN($E60,AH$17),Libur!$A$2:$A$38)/NETWORKDAYS($D60,$E60,Libur!$A$2:$A$38),0)</f>
        <v>0</v>
      </c>
      <c r="AI60" s="53">
        <f>IF(AND($D60&lt;=AI$17,$E60&gt;=AI$16),$C60*NETWORKDAYS(MAX($D60,AI$16),MIN($E60,AI$17),Libur!$A$2:$A$38)/NETWORKDAYS($D60,$E60,Libur!$A$2:$A$38),0)</f>
        <v>0</v>
      </c>
      <c r="AJ60" s="53">
        <f>IF(AND($D60&lt;=AJ$17,$E60&gt;=AJ$16),$C60*NETWORKDAYS(MAX($D60,AJ$16),MIN($E60,AJ$17),Libur!$A$2:$A$38)/NETWORKDAYS($D60,$E60,Libur!$A$2:$A$38),0)</f>
        <v>0</v>
      </c>
      <c r="AK60" s="53">
        <f>IF(AND($D60&lt;=AK$17,$E60&gt;=AK$16),$C60*NETWORKDAYS(MAX($D60,AK$16),MIN($E60,AK$17),Libur!$A$2:$A$38)/NETWORKDAYS($D60,$E60,Libur!$A$2:$A$38),0)</f>
        <v>0</v>
      </c>
      <c r="AL60" s="53">
        <f>IF(AND($D60&lt;=AL$17,$E60&gt;=AL$16),$C60*NETWORKDAYS(MAX($D60,AL$16),MIN($E60,AL$17),Libur!$A$2:$A$38)/NETWORKDAYS($D60,$E60,Libur!$A$2:$A$38),0)</f>
        <v>0</v>
      </c>
      <c r="AM60" s="53">
        <f>IF(AND($D60&lt;=AM$17,$E60&gt;=AM$16),$C60*NETWORKDAYS(MAX($D60,AM$16),MIN($E60,AM$17),Libur!$A$2:$A$38)/NETWORKDAYS($D60,$E60,Libur!$A$2:$A$38),0)</f>
        <v>0</v>
      </c>
      <c r="AN60" s="53">
        <f>IF(AND($D60&lt;=AN$17,$E60&gt;=AN$16),$C60*NETWORKDAYS(MAX($D60,AN$16),MIN($E60,AN$17),Libur!$A$2:$A$38)/NETWORKDAYS($D60,$E60,Libur!$A$2:$A$38),0)</f>
        <v>0</v>
      </c>
      <c r="AO60" s="53">
        <f>IF(AND($D60&lt;=AO$17,$E60&gt;=AO$16),$C60*NETWORKDAYS(MAX($D60,AO$16),MIN($E60,AO$17),Libur!$A$2:$A$38)/NETWORKDAYS($D60,$E60,Libur!$A$2:$A$38),0)</f>
        <v>0</v>
      </c>
      <c r="AP60" s="53">
        <f>IF(AND($D60&lt;=AP$17,$E60&gt;=AP$16),$C60*NETWORKDAYS(MAX($D60,AP$16),MIN($E60,AP$17),Libur!$A$2:$A$38)/NETWORKDAYS($D60,$E60,Libur!$A$2:$A$38),0)</f>
        <v>0</v>
      </c>
      <c r="AQ60" s="53">
        <f>IF(AND($D60&lt;=AQ$17,$E60&gt;=AQ$16),$C60*NETWORKDAYS(MAX($D60,AQ$16),MIN($E60,AQ$17),Libur!$A$2:$A$38)/NETWORKDAYS($D60,$E60,Libur!$A$2:$A$38),0)</f>
        <v>0</v>
      </c>
      <c r="AR60" s="53">
        <f>IF(AND($D60&lt;=AR$17,$E60&gt;=AR$16),$C60*NETWORKDAYS(MAX($D60,AR$16),MIN($E60,AR$17),Libur!$A$2:$A$38)/NETWORKDAYS($D60,$E60,Libur!$A$2:$A$38),0)</f>
        <v>0</v>
      </c>
      <c r="AS60" s="53">
        <f>IF(AND($D60&lt;=AS$17,$E60&gt;=AS$16),$C60*NETWORKDAYS(MAX($D60,AS$16),MIN($E60,AS$17),Libur!$A$2:$A$38)/NETWORKDAYS($D60,$E60,Libur!$A$2:$A$38),0)</f>
        <v>0</v>
      </c>
      <c r="AT60" s="53">
        <f>IF(AND($D60&lt;=AT$17,$E60&gt;=AT$16),$C60*NETWORKDAYS(MAX($D60,AT$16),MIN($E60,AT$17),Libur!$A$2:$A$38)/NETWORKDAYS($D60,$E60,Libur!$A$2:$A$38),0)</f>
        <v>0</v>
      </c>
      <c r="AU60" s="53">
        <f>IF(AND($D60&lt;=AU$17,$E60&gt;=AU$16),$C60*NETWORKDAYS(MAX($D60,AU$16),MIN($E60,AU$17),Libur!$A$2:$A$38)/NETWORKDAYS($D60,$E60,Libur!$A$2:$A$38),0)</f>
        <v>0</v>
      </c>
      <c r="AV60" s="53">
        <f>IF(AND($D60&lt;=AV$17,$E60&gt;=AV$16),$C60*NETWORKDAYS(MAX($D60,AV$16),MIN($E60,AV$17),Libur!$A$2:$A$38)/NETWORKDAYS($D60,$E60,Libur!$A$2:$A$38),0)</f>
        <v>0</v>
      </c>
      <c r="AW60" s="53">
        <f>IF(AND($D60&lt;=AW$17,$E60&gt;=AW$16),$C60*NETWORKDAYS(MAX($D60,AW$16),MIN($E60,AW$17),Libur!$A$2:$A$38)/NETWORKDAYS($D60,$E60,Libur!$A$2:$A$38),0)</f>
        <v>0</v>
      </c>
      <c r="AX60" s="53">
        <f>IF(AND($D60&lt;=AX$17,$E60&gt;=AX$16),$C60*NETWORKDAYS(MAX($D60,AX$16),MIN($E60,AX$17),Libur!$A$2:$A$38)/NETWORKDAYS($D60,$E60,Libur!$A$2:$A$38),0)</f>
        <v>0</v>
      </c>
      <c r="AY60" s="53">
        <f>IF(AND($D60&lt;=AY$17,$E60&gt;=AY$16),$C60*NETWORKDAYS(MAX($D60,AY$16),MIN($E60,AY$17),Libur!$A$2:$A$38)/NETWORKDAYS($D60,$E60,Libur!$A$2:$A$38),0)</f>
        <v>0</v>
      </c>
      <c r="AZ60" s="53">
        <f>IF(AND($D60&lt;=AZ$17,$E60&gt;=AZ$16),$C60*NETWORKDAYS(MAX($D60,AZ$16),MIN($E60,AZ$17),Libur!$A$2:$A$38)/NETWORKDAYS($D60,$E60,Libur!$A$2:$A$38),0)</f>
        <v>0</v>
      </c>
      <c r="BA60" s="53">
        <f>IF(AND($D60&lt;=BA$17,$E60&gt;=BA$16),$C60*NETWORKDAYS(MAX($D60,BA$16),MIN($E60,BA$17),Libur!$A$2:$A$38)/NETWORKDAYS($D60,$E60,Libur!$A$2:$A$38),0)</f>
        <v>0</v>
      </c>
      <c r="BB60" s="53">
        <f>IF(AND($D60&lt;=BB$17,$E60&gt;=BB$16),$C60*NETWORKDAYS(MAX($D60,BB$16),MIN($E60,BB$17),Libur!$A$2:$A$38)/NETWORKDAYS($D60,$E60,Libur!$A$2:$A$38),0)</f>
        <v>0</v>
      </c>
      <c r="BC60" s="53">
        <f>IF(AND($D60&lt;=BC$17,$E60&gt;=BC$16),$C60*NETWORKDAYS(MAX($D60,BC$16),MIN($E60,BC$17),Libur!$A$2:$A$38)/NETWORKDAYS($D60,$E60,Libur!$A$2:$A$38),0)</f>
        <v>0</v>
      </c>
      <c r="BD60" s="53">
        <f>IF(AND($D60&lt;=BD$17,$E60&gt;=BD$16),$C60*NETWORKDAYS(MAX($D60,BD$16),MIN($E60,BD$17),Libur!$A$2:$A$38)/NETWORKDAYS($D60,$E60,Libur!$A$2:$A$38),0)</f>
        <v>0</v>
      </c>
      <c r="BE60" s="53">
        <f>IF(AND($D60&lt;=BE$17,$E60&gt;=BE$16),$C60*NETWORKDAYS(MAX($D60,BE$16),MIN($E60,BE$17),Libur!$A$2:$A$38)/NETWORKDAYS($D60,$E60,Libur!$A$2:$A$38),0)</f>
        <v>0</v>
      </c>
      <c r="BF60" s="53">
        <f>IF(AND($D60&lt;=BF$17,$E60&gt;=BF$16),$C60*NETWORKDAYS(MAX($D60,BF$16),MIN($E60,BF$17),Libur!$A$2:$A$38)/NETWORKDAYS($D60,$E60,Libur!$A$2:$A$38),0)</f>
        <v>0</v>
      </c>
      <c r="BG60" s="53">
        <f>IF(AND($D60&lt;=BG$17,$E60&gt;=BG$16),$C60*NETWORKDAYS(MAX($D60,BG$16),MIN($E60,BG$17),Libur!$A$2:$A$38)/NETWORKDAYS($D60,$E60,Libur!$A$2:$A$38),0)</f>
        <v>0</v>
      </c>
      <c r="BH60" s="53">
        <f>IF(AND($D60&lt;=BH$17,$E60&gt;=BH$16),$C60*NETWORKDAYS(MAX($D60,BH$16),MIN($E60,BH$17),Libur!$A$2:$A$38)/NETWORKDAYS($D60,$E60,Libur!$A$2:$A$38),0)</f>
        <v>0</v>
      </c>
      <c r="BI60" s="53">
        <f>IF(AND($D60&lt;=BI$17,$E60&gt;=BI$16),$C60*NETWORKDAYS(MAX($D60,BI$16),MIN($E60,BI$17),Libur!$A$2:$A$38)/NETWORKDAYS($D60,$E60,Libur!$A$2:$A$38),0)</f>
        <v>0</v>
      </c>
      <c r="BJ60" s="53">
        <f>IF(AND($D60&lt;=BJ$17,$E60&gt;=BJ$16),$C60*NETWORKDAYS(MAX($D60,BJ$16),MIN($E60,BJ$17),Libur!$A$2:$A$38)/NETWORKDAYS($D60,$E60,Libur!$A$2:$A$38),0)</f>
        <v>0</v>
      </c>
      <c r="BK60" s="53">
        <f>IF(AND($D60&lt;=BK$17,$E60&gt;=BK$16),$C60*NETWORKDAYS(MAX($D60,BK$16),MIN($E60,BK$17),Libur!$A$2:$A$38)/NETWORKDAYS($D60,$E60,Libur!$A$2:$A$38),0)</f>
        <v>0</v>
      </c>
    </row>
    <row r="61" spans="1:63" x14ac:dyDescent="0.25">
      <c r="C61" s="7"/>
      <c r="F61" s="45"/>
      <c r="G61" s="45"/>
      <c r="H61" s="49"/>
      <c r="I61" s="48"/>
      <c r="J61" s="48"/>
      <c r="K61" s="48"/>
      <c r="L61" s="48"/>
      <c r="M61" s="48"/>
      <c r="N61" s="48"/>
    </row>
    <row r="62" spans="1:63" x14ac:dyDescent="0.25">
      <c r="B62" s="5" t="s">
        <v>111</v>
      </c>
      <c r="C62" s="7">
        <f>ROUNDUP(SUM(C21:C21,C25:C27,C29:C31,C33:C36,C39:C41,C44:C49,C52:C54,C57:C59,C60),2)</f>
        <v>1</v>
      </c>
      <c r="F62" s="59" t="s">
        <v>112</v>
      </c>
      <c r="G62" s="45"/>
      <c r="H62" s="49"/>
      <c r="I62" s="48"/>
      <c r="J62" s="7">
        <f>ROUNDUP(SUM(J21:J21,J25:J26,J29:J30,J33:J36,J39:J41,J44:J49,J52:J54,J57:J58,J60),2)</f>
        <v>0.01</v>
      </c>
      <c r="L62" s="7">
        <f>ROUNDUP(SUM(L21:L21,L25:L26,L29:L30,L33:L36,L39:L41,L44:L49,L52:L54,L57:L58,L60),2)</f>
        <v>0.01</v>
      </c>
      <c r="M62" s="7">
        <f>ROUNDUP(SUM(M21:M21,M25:M26,M29:M30,M33:M36,M39:M41,M44:M49,M52:M54,M57:M58,M60),2)</f>
        <v>0</v>
      </c>
      <c r="O62" s="61">
        <f>ROUNDUP(SUM(O21:O21,O25:O26,O29:O30,O33:O36,O39:O41,O44:O49,O52:O54,O57:O58,O60),2)</f>
        <v>1</v>
      </c>
      <c r="P62" s="62">
        <f t="shared" ref="P62:BK62" si="10">SUM(P20:P59)</f>
        <v>0.01</v>
      </c>
      <c r="Q62" s="62">
        <f t="shared" si="10"/>
        <v>4.777777777777778E-2</v>
      </c>
      <c r="R62" s="62">
        <f t="shared" si="10"/>
        <v>7.031746031746032E-2</v>
      </c>
      <c r="S62" s="62">
        <f t="shared" si="10"/>
        <v>4.7333333333333338E-2</v>
      </c>
      <c r="T62" s="62">
        <f t="shared" si="10"/>
        <v>7.2666666666666671E-2</v>
      </c>
      <c r="U62" s="62">
        <f t="shared" si="10"/>
        <v>0.20333333333333337</v>
      </c>
      <c r="V62" s="62">
        <f t="shared" si="10"/>
        <v>8.3333333333333343E-2</v>
      </c>
      <c r="W62" s="62">
        <f t="shared" si="10"/>
        <v>9.1666666666666674E-2</v>
      </c>
      <c r="X62" s="62">
        <f t="shared" si="10"/>
        <v>8.1666666666666665E-2</v>
      </c>
      <c r="Y62" s="62">
        <f t="shared" si="10"/>
        <v>5.7333333333333333E-2</v>
      </c>
      <c r="Z62" s="62">
        <f t="shared" si="10"/>
        <v>0.10100000000000001</v>
      </c>
      <c r="AA62" s="62">
        <f t="shared" si="10"/>
        <v>0.02</v>
      </c>
      <c r="AB62" s="62">
        <f t="shared" si="10"/>
        <v>2.5000000000000001E-2</v>
      </c>
      <c r="AC62" s="62">
        <f t="shared" si="10"/>
        <v>2.6666666666666668E-2</v>
      </c>
      <c r="AD62" s="62">
        <f t="shared" si="10"/>
        <v>4.3333333333333335E-2</v>
      </c>
      <c r="AE62" s="62">
        <f t="shared" si="10"/>
        <v>9.5000000000000001E-2</v>
      </c>
      <c r="AF62" s="62">
        <f t="shared" si="10"/>
        <v>9.2999999999999999E-2</v>
      </c>
      <c r="AG62" s="62">
        <f t="shared" si="10"/>
        <v>0</v>
      </c>
      <c r="AH62" s="62">
        <f t="shared" si="10"/>
        <v>0</v>
      </c>
      <c r="AI62" s="62">
        <f t="shared" si="10"/>
        <v>0</v>
      </c>
      <c r="AJ62" s="62">
        <f t="shared" si="10"/>
        <v>0</v>
      </c>
      <c r="AK62" s="63">
        <f t="shared" si="10"/>
        <v>0</v>
      </c>
      <c r="AL62" s="64">
        <f t="shared" si="10"/>
        <v>0</v>
      </c>
      <c r="AM62" s="64">
        <f t="shared" si="10"/>
        <v>0</v>
      </c>
      <c r="AN62" s="64">
        <f t="shared" si="10"/>
        <v>0</v>
      </c>
      <c r="AO62" s="64">
        <f t="shared" si="10"/>
        <v>0</v>
      </c>
      <c r="AP62" s="64">
        <f t="shared" si="10"/>
        <v>0</v>
      </c>
      <c r="AQ62" s="64">
        <f t="shared" si="10"/>
        <v>0</v>
      </c>
      <c r="AR62" s="64">
        <f t="shared" si="10"/>
        <v>0</v>
      </c>
      <c r="AS62" s="64">
        <f t="shared" si="10"/>
        <v>0</v>
      </c>
      <c r="AT62" s="64">
        <f t="shared" si="10"/>
        <v>0</v>
      </c>
      <c r="AU62" s="64">
        <f t="shared" si="10"/>
        <v>0</v>
      </c>
      <c r="AV62" s="64">
        <f t="shared" si="10"/>
        <v>0</v>
      </c>
      <c r="AW62" s="64">
        <f t="shared" si="10"/>
        <v>0</v>
      </c>
      <c r="AX62" s="64">
        <f t="shared" si="10"/>
        <v>0</v>
      </c>
      <c r="AY62" s="64">
        <f t="shared" si="10"/>
        <v>0</v>
      </c>
      <c r="AZ62" s="64">
        <f t="shared" si="10"/>
        <v>0</v>
      </c>
      <c r="BA62" s="64">
        <f t="shared" si="10"/>
        <v>0</v>
      </c>
      <c r="BB62" s="64">
        <f t="shared" si="10"/>
        <v>0</v>
      </c>
      <c r="BC62" s="64">
        <f t="shared" si="10"/>
        <v>0</v>
      </c>
      <c r="BD62" s="64">
        <f t="shared" si="10"/>
        <v>0</v>
      </c>
      <c r="BE62" s="64">
        <f t="shared" si="10"/>
        <v>0</v>
      </c>
      <c r="BF62" s="64">
        <f t="shared" si="10"/>
        <v>0</v>
      </c>
      <c r="BG62" s="64">
        <f t="shared" si="10"/>
        <v>0</v>
      </c>
      <c r="BH62" s="64">
        <f t="shared" si="10"/>
        <v>0</v>
      </c>
      <c r="BI62" s="64">
        <f t="shared" si="10"/>
        <v>0</v>
      </c>
      <c r="BJ62" s="64">
        <f t="shared" si="10"/>
        <v>0</v>
      </c>
      <c r="BK62" s="64">
        <f t="shared" si="10"/>
        <v>0</v>
      </c>
    </row>
    <row r="63" spans="1:63" x14ac:dyDescent="0.25">
      <c r="F63" s="5" t="s">
        <v>113</v>
      </c>
      <c r="M63" s="7" t="s">
        <v>307</v>
      </c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</row>
    <row r="66" spans="2:63" x14ac:dyDescent="0.25">
      <c r="H66" s="65"/>
      <c r="I66" s="66"/>
      <c r="J66" s="66"/>
      <c r="K66" s="66"/>
      <c r="L66" s="66"/>
      <c r="M66" s="66"/>
      <c r="N66" s="66"/>
      <c r="O66" s="9" t="s">
        <v>114</v>
      </c>
      <c r="P66" s="67">
        <f t="shared" ref="P66:BK66" si="11">MAX(P16,P17)</f>
        <v>46150</v>
      </c>
      <c r="Q66" s="67">
        <f t="shared" si="11"/>
        <v>46157</v>
      </c>
      <c r="R66" s="67">
        <f t="shared" si="11"/>
        <v>46164</v>
      </c>
      <c r="S66" s="67">
        <f t="shared" si="11"/>
        <v>46171</v>
      </c>
      <c r="T66" s="67">
        <f t="shared" si="11"/>
        <v>46178</v>
      </c>
      <c r="U66" s="67">
        <f t="shared" si="11"/>
        <v>46185</v>
      </c>
      <c r="V66" s="67">
        <f t="shared" si="11"/>
        <v>46192</v>
      </c>
      <c r="W66" s="67">
        <f t="shared" si="11"/>
        <v>46199</v>
      </c>
      <c r="X66" s="67">
        <f t="shared" si="11"/>
        <v>46206</v>
      </c>
      <c r="Y66" s="67">
        <f t="shared" si="11"/>
        <v>46213</v>
      </c>
      <c r="Z66" s="67">
        <f t="shared" si="11"/>
        <v>46220</v>
      </c>
      <c r="AA66" s="67">
        <f t="shared" si="11"/>
        <v>46227</v>
      </c>
      <c r="AB66" s="67">
        <f t="shared" si="11"/>
        <v>46234</v>
      </c>
      <c r="AC66" s="67">
        <f t="shared" si="11"/>
        <v>46241</v>
      </c>
      <c r="AD66" s="67">
        <f t="shared" si="11"/>
        <v>46248</v>
      </c>
      <c r="AE66" s="67">
        <f t="shared" si="11"/>
        <v>46255</v>
      </c>
      <c r="AF66" s="67">
        <f t="shared" si="11"/>
        <v>46262</v>
      </c>
      <c r="AG66" s="67">
        <f t="shared" si="11"/>
        <v>46269</v>
      </c>
      <c r="AH66" s="67">
        <f t="shared" si="11"/>
        <v>46276</v>
      </c>
      <c r="AI66" s="67">
        <f t="shared" si="11"/>
        <v>46283</v>
      </c>
      <c r="AJ66" s="67">
        <f t="shared" si="11"/>
        <v>46290</v>
      </c>
      <c r="AK66" s="67">
        <f t="shared" si="11"/>
        <v>46297</v>
      </c>
      <c r="AL66" s="67">
        <f t="shared" si="11"/>
        <v>46304</v>
      </c>
      <c r="AM66" s="67">
        <f t="shared" si="11"/>
        <v>46311</v>
      </c>
      <c r="AN66" s="67">
        <f t="shared" si="11"/>
        <v>46318</v>
      </c>
      <c r="AO66" s="67">
        <f t="shared" si="11"/>
        <v>46325</v>
      </c>
      <c r="AP66" s="67">
        <f t="shared" si="11"/>
        <v>46332</v>
      </c>
      <c r="AQ66" s="67">
        <f t="shared" si="11"/>
        <v>46339</v>
      </c>
      <c r="AR66" s="67">
        <f t="shared" si="11"/>
        <v>46346</v>
      </c>
      <c r="AS66" s="67">
        <f t="shared" si="11"/>
        <v>46353</v>
      </c>
      <c r="AT66" s="67">
        <f t="shared" si="11"/>
        <v>46360</v>
      </c>
      <c r="AU66" s="67">
        <f t="shared" si="11"/>
        <v>46367</v>
      </c>
      <c r="AV66" s="67">
        <f t="shared" si="11"/>
        <v>46374</v>
      </c>
      <c r="AW66" s="67">
        <f t="shared" si="11"/>
        <v>46381</v>
      </c>
      <c r="AX66" s="67">
        <f t="shared" si="11"/>
        <v>46388</v>
      </c>
      <c r="AY66" s="67">
        <f t="shared" si="11"/>
        <v>46395</v>
      </c>
      <c r="AZ66" s="67">
        <f t="shared" si="11"/>
        <v>46402</v>
      </c>
      <c r="BA66" s="67">
        <f t="shared" si="11"/>
        <v>46409</v>
      </c>
      <c r="BB66" s="67">
        <f t="shared" si="11"/>
        <v>46416</v>
      </c>
      <c r="BC66" s="67">
        <f t="shared" si="11"/>
        <v>46423</v>
      </c>
      <c r="BD66" s="67">
        <f t="shared" si="11"/>
        <v>46430</v>
      </c>
      <c r="BE66" s="67">
        <f t="shared" si="11"/>
        <v>46437</v>
      </c>
      <c r="BF66" s="67">
        <f t="shared" si="11"/>
        <v>46444</v>
      </c>
      <c r="BG66" s="67">
        <f t="shared" si="11"/>
        <v>46451</v>
      </c>
      <c r="BH66" s="67">
        <f t="shared" si="11"/>
        <v>46458</v>
      </c>
      <c r="BI66" s="67">
        <f t="shared" si="11"/>
        <v>46465</v>
      </c>
      <c r="BJ66" s="67">
        <f t="shared" si="11"/>
        <v>46472</v>
      </c>
      <c r="BK66" s="67">
        <f t="shared" si="11"/>
        <v>46479</v>
      </c>
    </row>
    <row r="67" spans="2:63" x14ac:dyDescent="0.25">
      <c r="H67" s="65"/>
      <c r="I67" s="66"/>
      <c r="J67" s="66"/>
      <c r="K67" s="66"/>
      <c r="L67" s="66"/>
      <c r="M67" s="66"/>
      <c r="N67" s="66"/>
      <c r="O67" s="68" t="s">
        <v>115</v>
      </c>
      <c r="P67" s="62">
        <f>P62</f>
        <v>0.01</v>
      </c>
      <c r="Q67" s="62">
        <f t="shared" ref="Q67:BK67" si="12">+Q62+P67</f>
        <v>5.7777777777777782E-2</v>
      </c>
      <c r="R67" s="62">
        <f t="shared" si="12"/>
        <v>0.1280952380952381</v>
      </c>
      <c r="S67" s="62">
        <f t="shared" si="12"/>
        <v>0.17542857142857143</v>
      </c>
      <c r="T67" s="62">
        <f t="shared" si="12"/>
        <v>0.24809523809523809</v>
      </c>
      <c r="U67" s="62">
        <f t="shared" si="12"/>
        <v>0.45142857142857146</v>
      </c>
      <c r="V67" s="62">
        <f t="shared" si="12"/>
        <v>0.53476190476190477</v>
      </c>
      <c r="W67" s="62">
        <f t="shared" si="12"/>
        <v>0.62642857142857145</v>
      </c>
      <c r="X67" s="62">
        <f t="shared" si="12"/>
        <v>0.70809523809523811</v>
      </c>
      <c r="Y67" s="62">
        <f t="shared" si="12"/>
        <v>0.76542857142857146</v>
      </c>
      <c r="Z67" s="62">
        <f t="shared" si="12"/>
        <v>0.86642857142857144</v>
      </c>
      <c r="AA67" s="62">
        <f t="shared" si="12"/>
        <v>0.88642857142857145</v>
      </c>
      <c r="AB67" s="62">
        <f t="shared" si="12"/>
        <v>0.91142857142857148</v>
      </c>
      <c r="AC67" s="62">
        <f t="shared" si="12"/>
        <v>0.93809523809523809</v>
      </c>
      <c r="AD67" s="62">
        <f t="shared" si="12"/>
        <v>0.98142857142857143</v>
      </c>
      <c r="AE67" s="62">
        <f t="shared" si="12"/>
        <v>1.0764285714285715</v>
      </c>
      <c r="AF67" s="62">
        <f t="shared" si="12"/>
        <v>1.1694285714285715</v>
      </c>
      <c r="AG67" s="62">
        <f t="shared" si="12"/>
        <v>1.1694285714285715</v>
      </c>
      <c r="AH67" s="62">
        <f t="shared" si="12"/>
        <v>1.1694285714285715</v>
      </c>
      <c r="AI67" s="62">
        <f t="shared" si="12"/>
        <v>1.1694285714285715</v>
      </c>
      <c r="AJ67" s="62">
        <f t="shared" si="12"/>
        <v>1.1694285714285715</v>
      </c>
      <c r="AK67" s="62">
        <f t="shared" si="12"/>
        <v>1.1694285714285715</v>
      </c>
      <c r="AL67" s="64">
        <f t="shared" si="12"/>
        <v>1.1694285714285715</v>
      </c>
      <c r="AM67" s="64">
        <f t="shared" si="12"/>
        <v>1.1694285714285715</v>
      </c>
      <c r="AN67" s="64">
        <f t="shared" si="12"/>
        <v>1.1694285714285715</v>
      </c>
      <c r="AO67" s="64">
        <f t="shared" si="12"/>
        <v>1.1694285714285715</v>
      </c>
      <c r="AP67" s="64">
        <f t="shared" si="12"/>
        <v>1.1694285714285715</v>
      </c>
      <c r="AQ67" s="64">
        <f t="shared" si="12"/>
        <v>1.1694285714285715</v>
      </c>
      <c r="AR67" s="64">
        <f t="shared" si="12"/>
        <v>1.1694285714285715</v>
      </c>
      <c r="AS67" s="64">
        <f t="shared" si="12"/>
        <v>1.1694285714285715</v>
      </c>
      <c r="AT67" s="64">
        <f t="shared" si="12"/>
        <v>1.1694285714285715</v>
      </c>
      <c r="AU67" s="64">
        <f t="shared" si="12"/>
        <v>1.1694285714285715</v>
      </c>
      <c r="AV67" s="64">
        <f t="shared" si="12"/>
        <v>1.1694285714285715</v>
      </c>
      <c r="AW67" s="64">
        <f t="shared" si="12"/>
        <v>1.1694285714285715</v>
      </c>
      <c r="AX67" s="64">
        <f t="shared" si="12"/>
        <v>1.1694285714285715</v>
      </c>
      <c r="AY67" s="64">
        <f t="shared" si="12"/>
        <v>1.1694285714285715</v>
      </c>
      <c r="AZ67" s="64">
        <f t="shared" si="12"/>
        <v>1.1694285714285715</v>
      </c>
      <c r="BA67" s="64">
        <f t="shared" si="12"/>
        <v>1.1694285714285715</v>
      </c>
      <c r="BB67" s="64">
        <f t="shared" si="12"/>
        <v>1.1694285714285715</v>
      </c>
      <c r="BC67" s="64">
        <f t="shared" si="12"/>
        <v>1.1694285714285715</v>
      </c>
      <c r="BD67" s="64">
        <f t="shared" si="12"/>
        <v>1.1694285714285715</v>
      </c>
      <c r="BE67" s="64">
        <f t="shared" si="12"/>
        <v>1.1694285714285715</v>
      </c>
      <c r="BF67" s="64">
        <f t="shared" si="12"/>
        <v>1.1694285714285715</v>
      </c>
      <c r="BG67" s="64">
        <f t="shared" si="12"/>
        <v>1.1694285714285715</v>
      </c>
      <c r="BH67" s="64">
        <f t="shared" si="12"/>
        <v>1.1694285714285715</v>
      </c>
      <c r="BI67" s="64">
        <f t="shared" si="12"/>
        <v>1.1694285714285715</v>
      </c>
      <c r="BJ67" s="64">
        <f t="shared" si="12"/>
        <v>1.1694285714285715</v>
      </c>
      <c r="BK67" s="64">
        <f t="shared" si="12"/>
        <v>1.1694285714285715</v>
      </c>
    </row>
    <row r="68" spans="2:63" x14ac:dyDescent="0.25">
      <c r="H68" s="65"/>
      <c r="I68" s="66"/>
      <c r="J68" s="66"/>
      <c r="K68" s="66"/>
      <c r="L68" s="66"/>
      <c r="M68" s="66"/>
      <c r="N68" s="66"/>
      <c r="O68" s="9" t="s">
        <v>119</v>
      </c>
      <c r="P68" s="62">
        <v>0.01</v>
      </c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L68" s="64"/>
      <c r="AM68" s="64">
        <v>0</v>
      </c>
      <c r="AN68" s="64">
        <v>0.1</v>
      </c>
      <c r="AO68" s="64">
        <v>0.23</v>
      </c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</row>
    <row r="69" spans="2:63" x14ac:dyDescent="0.25">
      <c r="H69" s="65"/>
      <c r="I69" s="66"/>
      <c r="J69" s="66"/>
      <c r="K69" s="66"/>
      <c r="L69" s="66"/>
      <c r="M69" s="66"/>
      <c r="N69" s="66"/>
      <c r="O69" s="9" t="s">
        <v>12</v>
      </c>
      <c r="P69" s="62">
        <f t="shared" ref="P69:BK69" si="13">P68-P67</f>
        <v>0</v>
      </c>
      <c r="Q69" s="62">
        <f t="shared" si="13"/>
        <v>-5.7777777777777782E-2</v>
      </c>
      <c r="R69" s="62">
        <f t="shared" si="13"/>
        <v>-0.1280952380952381</v>
      </c>
      <c r="S69" s="62">
        <f t="shared" si="13"/>
        <v>-0.17542857142857143</v>
      </c>
      <c r="T69" s="62">
        <f t="shared" si="13"/>
        <v>-0.24809523809523809</v>
      </c>
      <c r="U69" s="62">
        <f t="shared" si="13"/>
        <v>-0.45142857142857146</v>
      </c>
      <c r="V69" s="62">
        <f t="shared" si="13"/>
        <v>-0.53476190476190477</v>
      </c>
      <c r="W69" s="62">
        <f t="shared" si="13"/>
        <v>-0.62642857142857145</v>
      </c>
      <c r="X69" s="62">
        <f t="shared" si="13"/>
        <v>-0.70809523809523811</v>
      </c>
      <c r="Y69" s="62">
        <f t="shared" si="13"/>
        <v>-0.76542857142857146</v>
      </c>
      <c r="Z69" s="62">
        <f t="shared" si="13"/>
        <v>-0.86642857142857144</v>
      </c>
      <c r="AA69" s="62">
        <f t="shared" si="13"/>
        <v>-0.88642857142857145</v>
      </c>
      <c r="AB69" s="62">
        <f t="shared" si="13"/>
        <v>-0.91142857142857148</v>
      </c>
      <c r="AC69" s="62">
        <f t="shared" si="13"/>
        <v>-0.93809523809523809</v>
      </c>
      <c r="AD69" s="62">
        <f t="shared" si="13"/>
        <v>-0.98142857142857143</v>
      </c>
      <c r="AE69" s="62">
        <f t="shared" si="13"/>
        <v>-1.0764285714285715</v>
      </c>
      <c r="AF69" s="62">
        <f t="shared" si="13"/>
        <v>-1.1694285714285715</v>
      </c>
      <c r="AG69" s="62">
        <f t="shared" si="13"/>
        <v>-1.1694285714285715</v>
      </c>
      <c r="AH69" s="62">
        <f t="shared" si="13"/>
        <v>-1.1694285714285715</v>
      </c>
      <c r="AI69" s="62">
        <f t="shared" si="13"/>
        <v>-1.1694285714285715</v>
      </c>
      <c r="AJ69" s="62">
        <f t="shared" si="13"/>
        <v>-1.1694285714285715</v>
      </c>
      <c r="AK69" s="62">
        <f t="shared" si="13"/>
        <v>-1.1694285714285715</v>
      </c>
      <c r="AL69" s="62">
        <f t="shared" si="13"/>
        <v>-1.1694285714285715</v>
      </c>
      <c r="AM69" s="64">
        <f t="shared" si="13"/>
        <v>-1.1694285714285715</v>
      </c>
      <c r="AN69" s="64">
        <f t="shared" si="13"/>
        <v>-1.0694285714285714</v>
      </c>
      <c r="AO69" s="64">
        <f t="shared" si="13"/>
        <v>-0.9394285714285715</v>
      </c>
      <c r="AP69" s="64">
        <f t="shared" si="13"/>
        <v>-1.1694285714285715</v>
      </c>
      <c r="AQ69" s="64">
        <f t="shared" si="13"/>
        <v>-1.1694285714285715</v>
      </c>
      <c r="AR69" s="64">
        <f t="shared" si="13"/>
        <v>-1.1694285714285715</v>
      </c>
      <c r="AS69" s="64">
        <f t="shared" si="13"/>
        <v>-1.1694285714285715</v>
      </c>
      <c r="AT69" s="64">
        <f t="shared" si="13"/>
        <v>-1.1694285714285715</v>
      </c>
      <c r="AU69" s="64">
        <f t="shared" si="13"/>
        <v>-1.1694285714285715</v>
      </c>
      <c r="AV69" s="64">
        <f t="shared" si="13"/>
        <v>-1.1694285714285715</v>
      </c>
      <c r="AW69" s="64">
        <f t="shared" si="13"/>
        <v>-1.1694285714285715</v>
      </c>
      <c r="AX69" s="64">
        <f t="shared" si="13"/>
        <v>-1.1694285714285715</v>
      </c>
      <c r="AY69" s="64">
        <f t="shared" si="13"/>
        <v>-1.1694285714285715</v>
      </c>
      <c r="AZ69" s="64">
        <f t="shared" si="13"/>
        <v>-1.1694285714285715</v>
      </c>
      <c r="BA69" s="64">
        <f t="shared" si="13"/>
        <v>-1.1694285714285715</v>
      </c>
      <c r="BB69" s="64">
        <f t="shared" si="13"/>
        <v>-1.1694285714285715</v>
      </c>
      <c r="BC69" s="64">
        <f t="shared" si="13"/>
        <v>-1.1694285714285715</v>
      </c>
      <c r="BD69" s="64">
        <f t="shared" si="13"/>
        <v>-1.1694285714285715</v>
      </c>
      <c r="BE69" s="64">
        <f t="shared" si="13"/>
        <v>-1.1694285714285715</v>
      </c>
      <c r="BF69" s="64">
        <f t="shared" si="13"/>
        <v>-1.1694285714285715</v>
      </c>
      <c r="BG69" s="64">
        <f t="shared" si="13"/>
        <v>-1.1694285714285715</v>
      </c>
      <c r="BH69" s="64">
        <f t="shared" si="13"/>
        <v>-1.1694285714285715</v>
      </c>
      <c r="BI69" s="64">
        <f t="shared" si="13"/>
        <v>-1.1694285714285715</v>
      </c>
      <c r="BJ69" s="64">
        <f t="shared" si="13"/>
        <v>-1.1694285714285715</v>
      </c>
      <c r="BK69" s="64">
        <f t="shared" si="13"/>
        <v>-1.1694285714285715</v>
      </c>
    </row>
    <row r="71" spans="2:63" x14ac:dyDescent="0.25">
      <c r="O71" s="23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</row>
    <row r="74" spans="2:63" x14ac:dyDescent="0.25">
      <c r="B74" s="70" t="s">
        <v>117</v>
      </c>
      <c r="C74" s="71" t="s">
        <v>114</v>
      </c>
      <c r="D74" s="71" t="s">
        <v>118</v>
      </c>
      <c r="E74" s="71" t="s">
        <v>119</v>
      </c>
    </row>
    <row r="75" spans="2:63" x14ac:dyDescent="0.25">
      <c r="B75" s="72">
        <f t="shared" ref="B75:B111" si="14">+E75-D75</f>
        <v>-4.1999999999999996E-2</v>
      </c>
      <c r="C75" s="23">
        <v>45879</v>
      </c>
      <c r="D75" s="64">
        <v>7.5999999999999998E-2</v>
      </c>
      <c r="E75" s="73">
        <v>3.4000000000000002E-2</v>
      </c>
    </row>
    <row r="76" spans="2:63" x14ac:dyDescent="0.25">
      <c r="B76" s="72">
        <f t="shared" si="14"/>
        <v>-8.6888888888889015E-2</v>
      </c>
      <c r="C76" s="23">
        <v>45886</v>
      </c>
      <c r="D76" s="64">
        <v>0.13888888888888901</v>
      </c>
      <c r="E76" s="73">
        <v>5.1999999999999998E-2</v>
      </c>
    </row>
    <row r="77" spans="2:63" x14ac:dyDescent="0.25">
      <c r="B77" s="72">
        <f t="shared" si="14"/>
        <v>-4.9977777777777982E-2</v>
      </c>
      <c r="C77" s="23">
        <v>45894</v>
      </c>
      <c r="D77" s="64">
        <v>0.18777777777777799</v>
      </c>
      <c r="E77" s="73">
        <v>0.13780000000000001</v>
      </c>
    </row>
    <row r="78" spans="2:63" x14ac:dyDescent="0.25">
      <c r="B78" s="72">
        <f t="shared" si="14"/>
        <v>-4.6000000000000013E-2</v>
      </c>
      <c r="C78" s="23">
        <v>45900</v>
      </c>
      <c r="D78" s="64">
        <v>0.22</v>
      </c>
      <c r="E78" s="73">
        <v>0.17399999999999999</v>
      </c>
    </row>
    <row r="79" spans="2:63" x14ac:dyDescent="0.25">
      <c r="B79" s="72">
        <f t="shared" si="14"/>
        <v>-9.9999999999999811E-3</v>
      </c>
      <c r="C79" s="23">
        <v>45907</v>
      </c>
      <c r="D79" s="64">
        <v>0.24</v>
      </c>
      <c r="E79" s="73">
        <v>0.23</v>
      </c>
    </row>
    <row r="80" spans="2:63" x14ac:dyDescent="0.25">
      <c r="B80" s="72">
        <f t="shared" si="14"/>
        <v>-1.5000000000000013E-2</v>
      </c>
      <c r="C80" s="23">
        <v>45914</v>
      </c>
      <c r="D80" s="64">
        <v>0.26500000000000001</v>
      </c>
      <c r="E80" s="73">
        <v>0.25</v>
      </c>
    </row>
    <row r="81" spans="2:5" x14ac:dyDescent="0.25">
      <c r="B81" s="72">
        <f t="shared" si="14"/>
        <v>-9.9999999999999534E-3</v>
      </c>
      <c r="C81" s="23">
        <v>45921</v>
      </c>
      <c r="D81" s="64">
        <v>0.28999999999999998</v>
      </c>
      <c r="E81" s="73">
        <v>0.28000000000000003</v>
      </c>
    </row>
    <row r="82" spans="2:5" x14ac:dyDescent="0.25">
      <c r="B82" s="72">
        <f t="shared" si="14"/>
        <v>7.5000000000000011E-2</v>
      </c>
      <c r="C82" s="23">
        <v>45928</v>
      </c>
      <c r="D82" s="64">
        <v>0.315</v>
      </c>
      <c r="E82" s="73">
        <v>0.39</v>
      </c>
    </row>
    <row r="83" spans="2:5" x14ac:dyDescent="0.25">
      <c r="B83" s="72">
        <f t="shared" si="14"/>
        <v>-0.34</v>
      </c>
      <c r="C83" s="23">
        <v>45935</v>
      </c>
      <c r="D83" s="64">
        <v>0.34</v>
      </c>
      <c r="E83" s="73"/>
    </row>
    <row r="84" spans="2:5" x14ac:dyDescent="0.25">
      <c r="B84" s="72">
        <f t="shared" si="14"/>
        <v>-0.36499999999999999</v>
      </c>
      <c r="C84" s="23">
        <v>45942</v>
      </c>
      <c r="D84" s="64">
        <v>0.36499999999999999</v>
      </c>
      <c r="E84" s="73"/>
    </row>
    <row r="85" spans="2:5" x14ac:dyDescent="0.25">
      <c r="B85" s="72">
        <f t="shared" si="14"/>
        <v>-0.39</v>
      </c>
      <c r="C85" s="23">
        <v>45949</v>
      </c>
      <c r="D85" s="64">
        <v>0.39</v>
      </c>
      <c r="E85" s="73"/>
    </row>
    <row r="86" spans="2:5" x14ac:dyDescent="0.25">
      <c r="B86" s="72">
        <f t="shared" si="14"/>
        <v>-0.41949999999999998</v>
      </c>
      <c r="C86" s="23">
        <v>45956</v>
      </c>
      <c r="D86" s="64">
        <v>0.41949999999999998</v>
      </c>
      <c r="E86" s="73"/>
    </row>
    <row r="87" spans="2:5" x14ac:dyDescent="0.25">
      <c r="B87" s="72">
        <f t="shared" si="14"/>
        <v>-0.45200000000000001</v>
      </c>
      <c r="C87" s="23">
        <v>45963</v>
      </c>
      <c r="D87" s="64">
        <v>0.45200000000000001</v>
      </c>
      <c r="E87" s="73"/>
    </row>
    <row r="88" spans="2:5" x14ac:dyDescent="0.25">
      <c r="B88" s="72">
        <f t="shared" si="14"/>
        <v>-0.48449999999999999</v>
      </c>
      <c r="C88" s="23">
        <v>45970</v>
      </c>
      <c r="D88" s="64">
        <v>0.48449999999999999</v>
      </c>
      <c r="E88" s="73"/>
    </row>
    <row r="89" spans="2:5" x14ac:dyDescent="0.25">
      <c r="B89" s="72">
        <f t="shared" si="14"/>
        <v>-0.51700000000000002</v>
      </c>
      <c r="C89" s="23">
        <v>45977</v>
      </c>
      <c r="D89" s="64">
        <v>0.51700000000000002</v>
      </c>
      <c r="E89" s="73"/>
    </row>
    <row r="90" spans="2:5" x14ac:dyDescent="0.25">
      <c r="B90" s="72">
        <f t="shared" si="14"/>
        <v>-1.0000000000000009E-2</v>
      </c>
      <c r="C90" s="23">
        <v>45984</v>
      </c>
      <c r="D90" s="64">
        <v>0.5</v>
      </c>
      <c r="E90" s="73">
        <v>0.49</v>
      </c>
    </row>
    <row r="91" spans="2:5" x14ac:dyDescent="0.25">
      <c r="B91" s="72">
        <f t="shared" si="14"/>
        <v>-2.0000000000000018E-2</v>
      </c>
      <c r="C91" s="23">
        <v>45991</v>
      </c>
      <c r="D91" s="64">
        <v>0.55000000000000004</v>
      </c>
      <c r="E91" s="73">
        <v>0.53</v>
      </c>
    </row>
    <row r="92" spans="2:5" x14ac:dyDescent="0.25">
      <c r="B92" s="72">
        <f t="shared" si="14"/>
        <v>-0.6</v>
      </c>
      <c r="C92" s="23">
        <v>45998</v>
      </c>
      <c r="D92" s="64">
        <v>0.6</v>
      </c>
      <c r="E92" s="73"/>
    </row>
    <row r="93" spans="2:5" x14ac:dyDescent="0.25">
      <c r="B93" s="72">
        <f t="shared" si="14"/>
        <v>-0.75</v>
      </c>
      <c r="C93" s="23">
        <v>46005</v>
      </c>
      <c r="D93" s="64">
        <v>0.75</v>
      </c>
      <c r="E93" s="73"/>
    </row>
    <row r="94" spans="2:5" x14ac:dyDescent="0.25">
      <c r="B94" s="72">
        <f t="shared" si="14"/>
        <v>-0.9</v>
      </c>
      <c r="C94" s="23">
        <v>46012</v>
      </c>
      <c r="D94" s="64">
        <v>0.9</v>
      </c>
      <c r="E94" s="73"/>
    </row>
    <row r="95" spans="2:5" x14ac:dyDescent="0.25">
      <c r="B95" s="72">
        <f t="shared" si="14"/>
        <v>-0.98</v>
      </c>
      <c r="C95" s="10">
        <v>46019</v>
      </c>
      <c r="D95" s="64">
        <v>0.98</v>
      </c>
      <c r="E95" s="73"/>
    </row>
    <row r="96" spans="2:5" x14ac:dyDescent="0.25">
      <c r="B96" s="72">
        <f t="shared" si="14"/>
        <v>-1</v>
      </c>
      <c r="C96" s="10">
        <v>46026</v>
      </c>
      <c r="D96" s="64">
        <v>1</v>
      </c>
      <c r="E96" s="73"/>
    </row>
    <row r="97" spans="2:5" x14ac:dyDescent="0.25">
      <c r="B97" s="72">
        <f t="shared" si="14"/>
        <v>0</v>
      </c>
      <c r="C97" s="74"/>
      <c r="D97" s="75"/>
      <c r="E97" s="73"/>
    </row>
    <row r="98" spans="2:5" x14ac:dyDescent="0.25">
      <c r="B98" s="72">
        <f t="shared" si="14"/>
        <v>0</v>
      </c>
      <c r="C98" s="74"/>
      <c r="D98" s="75"/>
      <c r="E98" s="73"/>
    </row>
    <row r="99" spans="2:5" x14ac:dyDescent="0.25">
      <c r="B99" s="72">
        <f t="shared" si="14"/>
        <v>0</v>
      </c>
      <c r="C99" s="74"/>
      <c r="D99" s="75"/>
      <c r="E99" s="73"/>
    </row>
    <row r="100" spans="2:5" x14ac:dyDescent="0.25">
      <c r="B100" s="72">
        <f t="shared" si="14"/>
        <v>0</v>
      </c>
      <c r="C100" s="74"/>
      <c r="D100" s="75"/>
      <c r="E100" s="73"/>
    </row>
    <row r="101" spans="2:5" x14ac:dyDescent="0.25">
      <c r="B101" s="72">
        <f t="shared" si="14"/>
        <v>0</v>
      </c>
      <c r="C101" s="74"/>
      <c r="D101" s="75"/>
      <c r="E101" s="73"/>
    </row>
    <row r="102" spans="2:5" x14ac:dyDescent="0.25">
      <c r="B102" s="72">
        <f t="shared" si="14"/>
        <v>0</v>
      </c>
      <c r="C102" s="74"/>
      <c r="D102" s="75"/>
      <c r="E102" s="73"/>
    </row>
    <row r="103" spans="2:5" x14ac:dyDescent="0.25">
      <c r="B103" s="72">
        <f t="shared" si="14"/>
        <v>0</v>
      </c>
      <c r="C103" s="74"/>
      <c r="D103" s="75"/>
      <c r="E103" s="73"/>
    </row>
    <row r="104" spans="2:5" x14ac:dyDescent="0.25">
      <c r="B104" s="72">
        <f t="shared" si="14"/>
        <v>0</v>
      </c>
      <c r="C104" s="74"/>
      <c r="D104" s="75"/>
      <c r="E104" s="73"/>
    </row>
    <row r="105" spans="2:5" x14ac:dyDescent="0.25">
      <c r="B105" s="72">
        <f t="shared" si="14"/>
        <v>0</v>
      </c>
      <c r="C105" s="74"/>
      <c r="D105" s="75"/>
      <c r="E105" s="73"/>
    </row>
    <row r="106" spans="2:5" x14ac:dyDescent="0.25">
      <c r="B106" s="72">
        <f t="shared" si="14"/>
        <v>0</v>
      </c>
      <c r="C106" s="74"/>
      <c r="D106" s="75"/>
      <c r="E106" s="73"/>
    </row>
    <row r="107" spans="2:5" x14ac:dyDescent="0.25">
      <c r="B107" s="72">
        <f t="shared" si="14"/>
        <v>0</v>
      </c>
      <c r="C107" s="74"/>
      <c r="D107" s="75"/>
      <c r="E107" s="73"/>
    </row>
    <row r="108" spans="2:5" x14ac:dyDescent="0.25">
      <c r="B108" s="72">
        <f t="shared" si="14"/>
        <v>0</v>
      </c>
      <c r="C108" s="74"/>
      <c r="D108" s="75"/>
      <c r="E108" s="73"/>
    </row>
    <row r="109" spans="2:5" x14ac:dyDescent="0.25">
      <c r="B109" s="72">
        <f t="shared" si="14"/>
        <v>0</v>
      </c>
      <c r="C109" s="76"/>
      <c r="D109" s="75"/>
      <c r="E109" s="73"/>
    </row>
    <row r="110" spans="2:5" x14ac:dyDescent="0.25">
      <c r="B110" s="72">
        <f t="shared" si="14"/>
        <v>0</v>
      </c>
      <c r="C110" s="76"/>
      <c r="D110" s="75"/>
      <c r="E110" s="73"/>
    </row>
    <row r="111" spans="2:5" x14ac:dyDescent="0.25">
      <c r="B111" s="72">
        <f t="shared" si="14"/>
        <v>0</v>
      </c>
      <c r="C111" s="76"/>
      <c r="D111" s="75"/>
      <c r="E111" s="73"/>
    </row>
    <row r="125" spans="11:26" x14ac:dyDescent="0.25">
      <c r="K125" s="7">
        <v>0.25</v>
      </c>
      <c r="L125" s="7">
        <v>0.27500000000000002</v>
      </c>
      <c r="M125" s="7">
        <v>0.3</v>
      </c>
      <c r="O125" s="5">
        <v>0.32500000000000001</v>
      </c>
      <c r="P125" s="8">
        <v>0.35</v>
      </c>
      <c r="Q125" s="8">
        <v>0.375</v>
      </c>
      <c r="R125" s="8">
        <v>0.41949999999999998</v>
      </c>
      <c r="S125" s="8">
        <v>0.45200000000000001</v>
      </c>
      <c r="T125" s="8">
        <v>0.48449999999999999</v>
      </c>
      <c r="U125" s="8">
        <v>0.51700000000000002</v>
      </c>
      <c r="V125" s="8">
        <v>0.58099999999999996</v>
      </c>
      <c r="W125" s="8">
        <v>0.66600000000000004</v>
      </c>
      <c r="X125" s="8">
        <v>0.76</v>
      </c>
      <c r="Y125" s="8">
        <v>0.84799999999999998</v>
      </c>
      <c r="Z125" s="8">
        <v>1</v>
      </c>
    </row>
  </sheetData>
  <mergeCells count="9">
    <mergeCell ref="C7:D7"/>
    <mergeCell ref="C8:D8"/>
    <mergeCell ref="I18:J18"/>
    <mergeCell ref="K18:L18"/>
    <mergeCell ref="C2:D2"/>
    <mergeCell ref="C3:D3"/>
    <mergeCell ref="C4:D4"/>
    <mergeCell ref="C5:D5"/>
    <mergeCell ref="C6:D6"/>
  </mergeCells>
  <conditionalFormatting sqref="P17:BK20 P66:BK66">
    <cfRule type="cellIs" dxfId="1" priority="3" operator="greaterThan">
      <formula>0</formula>
    </cfRule>
  </conditionalFormatting>
  <conditionalFormatting sqref="P21:BK60">
    <cfRule type="cellIs" dxfId="0" priority="2" operator="greaterThan">
      <formula>0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SCurve</vt:lpstr>
      <vt:lpstr>Log_Mingguan</vt:lpstr>
      <vt:lpstr>Catatan Perbaikan</vt:lpstr>
      <vt:lpstr>milestone progress</vt:lpstr>
      <vt:lpstr>Sheet2</vt:lpstr>
      <vt:lpstr>Libur</vt:lpstr>
      <vt:lpstr>Info Mingguan</vt:lpstr>
      <vt:lpstr>SCurve D1</vt:lpstr>
      <vt:lpstr>Hari_Libur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Lesy Nugraheny</dc:creator>
  <dc:description/>
  <cp:lastModifiedBy>Lesy Nugraheny</cp:lastModifiedBy>
  <cp:revision>1</cp:revision>
  <dcterms:created xsi:type="dcterms:W3CDTF">2025-04-25T02:19:32Z</dcterms:created>
  <dcterms:modified xsi:type="dcterms:W3CDTF">2026-09-23T10:32:10Z</dcterms:modified>
  <dc:language>en-US</dc:language>
</cp:coreProperties>
</file>